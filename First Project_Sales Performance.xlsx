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defaultThemeVersion="166925"/>
  <mc:AlternateContent xmlns:mc="http://schemas.openxmlformats.org/markup-compatibility/2006">
    <mc:Choice Requires="x15">
      <x15ac:absPath xmlns:x15ac="http://schemas.microsoft.com/office/spreadsheetml/2010/11/ac" url="D:\Dummy Project Data Analyst\Sales data\"/>
    </mc:Choice>
  </mc:AlternateContent>
  <xr:revisionPtr revIDLastSave="0" documentId="13_ncr:1_{AA862AA1-FC64-42F0-A847-F34A3FEBAB93}" xr6:coauthVersionLast="47" xr6:coauthVersionMax="47" xr10:uidLastSave="{00000000-0000-0000-0000-000000000000}"/>
  <bookViews>
    <workbookView xWindow="-110" yWindow="-110" windowWidth="19420" windowHeight="10300" activeTab="2" xr2:uid="{00000000-000D-0000-FFFF-FFFF00000000}"/>
  </bookViews>
  <sheets>
    <sheet name="sales_data" sheetId="1" r:id="rId1"/>
    <sheet name="Jawaban" sheetId="3" r:id="rId2"/>
    <sheet name="Dashboard" sheetId="4" r:id="rId3"/>
  </sheets>
  <definedNames>
    <definedName name="NativeTimeline_Sale_Date">#N/A</definedName>
    <definedName name="Slicer_Customer_Type">#N/A</definedName>
    <definedName name="Slicer_Region">#N/A</definedName>
    <definedName name="Slicer_Sales_Rep">#N/A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calcChain.xml><?xml version="1.0" encoding="utf-8"?>
<calcChain xmlns="http://schemas.openxmlformats.org/spreadsheetml/2006/main">
  <c r="O14" i="1" l="1"/>
  <c r="O15" i="1"/>
  <c r="O16" i="1"/>
  <c r="O17" i="1"/>
  <c r="O18" i="1"/>
  <c r="O19" i="1"/>
  <c r="O20" i="1"/>
  <c r="O21" i="1"/>
  <c r="O22" i="1"/>
  <c r="O23" i="1"/>
  <c r="O24" i="1"/>
  <c r="O25" i="1"/>
  <c r="O26" i="1"/>
  <c r="O27" i="1"/>
  <c r="O28" i="1"/>
  <c r="O29" i="1"/>
  <c r="O2"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3"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4"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5"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6"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7"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8"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9" i="1"/>
  <c r="O715" i="1"/>
  <c r="O716" i="1"/>
  <c r="O717" i="1"/>
  <c r="O718" i="1"/>
  <c r="O719" i="1"/>
  <c r="O720" i="1"/>
  <c r="O721" i="1"/>
  <c r="O722" i="1"/>
  <c r="O723" i="1"/>
  <c r="O724" i="1"/>
  <c r="O725" i="1"/>
  <c r="O726" i="1"/>
  <c r="O727" i="1"/>
  <c r="O728" i="1"/>
  <c r="O729" i="1"/>
  <c r="O730" i="1"/>
  <c r="O731" i="1"/>
  <c r="O732" i="1"/>
  <c r="O733" i="1"/>
  <c r="O734" i="1"/>
  <c r="O735" i="1"/>
  <c r="O10"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11" i="1"/>
  <c r="O937" i="1"/>
  <c r="O938" i="1"/>
  <c r="O939" i="1"/>
  <c r="O940" i="1"/>
  <c r="O941" i="1"/>
  <c r="O942" i="1"/>
  <c r="O943" i="1"/>
  <c r="O944" i="1"/>
  <c r="O945" i="1"/>
  <c r="O946" i="1"/>
  <c r="O947" i="1"/>
  <c r="O948" i="1"/>
  <c r="O949" i="1"/>
  <c r="O950" i="1"/>
  <c r="O951" i="1"/>
  <c r="O952" i="1"/>
  <c r="O953" i="1"/>
  <c r="O954" i="1"/>
  <c r="O955" i="1"/>
  <c r="O956" i="1"/>
  <c r="O957" i="1"/>
  <c r="O958" i="1"/>
  <c r="O959" i="1"/>
  <c r="O12" i="1"/>
  <c r="O960" i="1"/>
  <c r="O961" i="1"/>
  <c r="O962" i="1"/>
  <c r="O963" i="1"/>
  <c r="O964" i="1"/>
  <c r="O965" i="1"/>
  <c r="O966" i="1"/>
  <c r="O967" i="1"/>
  <c r="O968" i="1"/>
  <c r="O969" i="1"/>
  <c r="O13"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E104" i="3"/>
  <c r="D104" i="3"/>
</calcChain>
</file>

<file path=xl/sharedStrings.xml><?xml version="1.0" encoding="utf-8"?>
<sst xmlns="http://schemas.openxmlformats.org/spreadsheetml/2006/main" count="7104" uniqueCount="89">
  <si>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</si>
  <si>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</si>
  <si>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</si>
  <si>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</si>
  <si>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</si>
  <si>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</si>
  <si>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</si>
  <si>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</si>
  <si>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</si>
  <si>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</si>
  <si>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</si>
  <si>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</si>
  <si>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</si>
  <si>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</si>
  <si>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</si>
  <si>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</si>
  <si>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</si>
  <si>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</si>
  <si>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</si>
  <si>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</si>
  <si>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</si>
  <si>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</si>
  <si>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</si>
  <si>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</si>
  <si>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</si>
  <si>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</si>
  <si>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</si>
  <si>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</si>
  <si>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</si>
  <si>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</si>
  <si>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</si>
  <si>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</si>
  <si>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</si>
  <si>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</si>
  <si>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</si>
  <si>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</si>
  <si>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</si>
  <si>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</si>
  <si>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</si>
  <si>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</si>
  <si>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</si>
  <si>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</si>
  <si>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</si>
  <si>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</si>
  <si>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</si>
  <si>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</si>
  <si>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</si>
  <si>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</si>
  <si>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</si>
  <si>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</si>
  <si>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</si>
  <si>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</si>
  <si>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</si>
  <si>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</si>
  <si>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 Tantangan Rumus: Di kolom baru, identifikasi baris yang memiliki Product_ID sama, di Region yang sama, pada Sale_Date yang sama.</t>
  </si>
  <si>
    <t>Net_profit</t>
  </si>
  <si>
    <t>Profitability vs Diskon</t>
  </si>
  <si>
    <t>Row Labels</t>
  </si>
  <si>
    <t>Average of Discount</t>
  </si>
  <si>
    <t>Average of Net_profit</t>
  </si>
  <si>
    <t>Grand Total</t>
  </si>
  <si>
    <t>Sum of Quantity_Sold</t>
  </si>
  <si>
    <t>Sum of Net_profit</t>
  </si>
  <si>
    <t>Sum of Sales_Amount</t>
  </si>
  <si>
    <t>segmentasi sales performance all time</t>
  </si>
  <si>
    <t>perilaku konsumen per wilayah</t>
  </si>
  <si>
    <t>Column Labels</t>
  </si>
  <si>
    <t>Count of Payment_Method</t>
  </si>
  <si>
    <t>untuk dashboard</t>
  </si>
  <si>
    <t>trend penjualan bulanan</t>
  </si>
  <si>
    <t>top 5 product id based on quantity sold</t>
  </si>
  <si>
    <t>profit per region</t>
  </si>
  <si>
    <t>slicer untuk customer type dan sales-rep</t>
  </si>
  <si>
    <t>2023</t>
  </si>
  <si>
    <t>Jan</t>
  </si>
  <si>
    <t>Feb</t>
  </si>
  <si>
    <t>Mar</t>
  </si>
  <si>
    <t>Apr</t>
  </si>
  <si>
    <t>May</t>
  </si>
  <si>
    <t>Jun</t>
  </si>
  <si>
    <t>Jul</t>
  </si>
  <si>
    <t>Aug</t>
  </si>
  <si>
    <t>Sep</t>
  </si>
  <si>
    <t>Oct</t>
  </si>
  <si>
    <t>Nov</t>
  </si>
  <si>
    <t>Dec</t>
  </si>
  <si>
    <t xml:space="preserve"> top 5 product_id</t>
  </si>
  <si>
    <t>2024</t>
  </si>
  <si>
    <t>Method pays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</si>
</sst>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4" fontId="0" fillId="0" borderId="0" xfId="0" applyNumberFormat="1"/>
    <xf numFmtId="9" fontId="0" fillId="0" borderId="0" xfId="1" applyFont="1"/>
    <xf numFmtId="0" fontId="0" fillId="33" borderId="0" xfId="0" applyFill="1"/>
    <xf numFmtId="164" fontId="0" fillId="0" borderId="0" xfId="43" applyNumberFormat="1" applyFont="1"/>
    <xf numFmtId="164" fontId="0" fillId="0" borderId="0" xfId="0" applyNumberFormat="1"/>
    <xf numFmtId="0" fontId="0" fillId="0" borderId="0" xfId="0" pivotButton="1"/>
    <xf numFmtId="0" fontId="0" fillId="0" borderId="0" xfId="0" applyAlignment="1">
      <alignment horizontal="left"/>
    </xf>
    <xf numFmtId="9" fontId="0" fillId="0" borderId="0" xfId="0" applyNumberFormat="1"/>
    <xf numFmtId="14" fontId="0" fillId="0" borderId="0" xfId="0" applyNumberFormat="1" applyAlignment="1">
      <alignment horizontal="left" indent="1"/>
    </xf>
    <xf numFmtId="0" fontId="0" fillId="34" borderId="0" xfId="0" applyFill="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7">
    <dxf>
      <numFmt numFmtId="13"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9" formatCode="dd/mm/yy"/>
    </dxf>
  </dxfs>
  <tableStyles count="0" defaultTableStyle="TableStyleMedium2" defaultPivotStyle="PivotStyleLight16"/>
  <colors>
    <mruColors>
      <color rgb="FF000000"/>
      <color rgb="FFFFFF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[sales_data.xlsx]Jawaban!Jawaban 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000000000000001E-2"/>
              <c:y val="-4.6296296296296294E-2"/>
            </c:manualLayout>
          </c:layout>
          <c:spPr>
            <a:solidFill>
              <a:schemeClr val="tx1"/>
            </a:solid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222222222222223E-2"/>
              <c:y val="-6.4814814814814811E-2"/>
            </c:manualLayout>
          </c:layout>
          <c:spPr>
            <a:solidFill>
              <a:schemeClr val="tx1"/>
            </a:solid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333333333333334E-2"/>
              <c:y val="-3.7037037037037035E-2"/>
            </c:manualLayout>
          </c:layout>
          <c:spPr>
            <a:solidFill>
              <a:schemeClr val="tx1"/>
            </a:solid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2E-2"/>
              <c:y val="-2.7777777777777863E-2"/>
            </c:manualLayout>
          </c:layout>
          <c:spPr>
            <a:solidFill>
              <a:schemeClr val="tx1"/>
            </a:solid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Jawaban!$B$2</c:f>
              <c:strCache>
                <c:ptCount val="1"/>
                <c:pt idx="0">
                  <c:v>Average of Discount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2FA-4539-AAB1-C4349AE1ED9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2FA-4539-AAB1-C4349AE1ED9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2FA-4539-AAB1-C4349AE1ED9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2FA-4539-AAB1-C4349AE1ED92}"/>
              </c:ext>
            </c:extLst>
          </c:dPt>
          <c:dLbls>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Jawaban!$A$3:$A$6</c:f>
              <c:strCache>
                <c:ptCount val="4"/>
                <c:pt idx="0">
                  <c:v>Clothing</c:v>
                </c:pt>
                <c:pt idx="1">
                  <c:v>Electronics</c:v>
                </c:pt>
                <c:pt idx="2">
                  <c:v>Food</c:v>
                </c:pt>
                <c:pt idx="3">
                  <c:v>Furniture</c:v>
                </c:pt>
              </c:strCache>
            </c:strRef>
          </c:cat>
          <c:val>
            <c:numRef>
              <c:f>Jawaban!$B$3:$B$6</c:f>
              <c:numCache>
                <c:formatCode>0%</c:formatCode>
                <c:ptCount val="4"/>
                <c:pt idx="0">
                  <c:v>0.16022388059701501</c:v>
                </c:pt>
                <c:pt idx="1">
                  <c:v>0.13650406504065041</c:v>
                </c:pt>
                <c:pt idx="2">
                  <c:v>0.15380530973451326</c:v>
                </c:pt>
                <c:pt idx="3">
                  <c:v>0.15811538461538469</c:v>
                </c:pt>
              </c:numCache>
            </c:numRef>
          </c:val>
          <c:extLst>
            <c:ext xmlns:c16="http://schemas.microsoft.com/office/drawing/2014/chart" uri="{C3380CC4-5D6E-409C-BE32-E72D297353CC}">
              <c16:uniqueId val="{00000013-D6E8-4F95-B67F-62952FD1E694}"/>
            </c:ext>
          </c:extLst>
        </c:ser>
        <c:ser>
          <c:idx val="1"/>
          <c:order val="1"/>
          <c:tx>
            <c:strRef>
              <c:f>Jawaban!$C$2</c:f>
              <c:strCache>
                <c:ptCount val="1"/>
                <c:pt idx="0">
                  <c:v>Average of Net_profit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2FA-4539-AAB1-C4349AE1ED9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2FA-4539-AAB1-C4349AE1ED9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2FA-4539-AAB1-C4349AE1ED9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2FA-4539-AAB1-C4349AE1ED92}"/>
              </c:ext>
            </c:extLst>
          </c:dPt>
          <c:dLbls>
            <c:dLbl>
              <c:idx val="0"/>
              <c:layout>
                <c:manualLayout>
                  <c:x val="-2.2222222222222223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2FA-4539-AAB1-C4349AE1ED92}"/>
                </c:ext>
              </c:extLst>
            </c:dLbl>
            <c:dLbl>
              <c:idx val="1"/>
              <c:layout>
                <c:manualLayout>
                  <c:x val="5.8333333333333334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2FA-4539-AAB1-C4349AE1ED92}"/>
                </c:ext>
              </c:extLst>
            </c:dLbl>
            <c:dLbl>
              <c:idx val="2"/>
              <c:layout>
                <c:manualLayout>
                  <c:x val="-5.5555555555555552E-2"/>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2FA-4539-AAB1-C4349AE1ED92}"/>
                </c:ext>
              </c:extLst>
            </c:dLbl>
            <c:dLbl>
              <c:idx val="3"/>
              <c:layout>
                <c:manualLayout>
                  <c:x val="-2.5000000000000001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2FA-4539-AAB1-C4349AE1ED92}"/>
                </c:ext>
              </c:extLst>
            </c:dLbl>
            <c:spPr>
              <a:solidFill>
                <a:schemeClr val="tx1"/>
              </a:solid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Jawaban!$A$3:$A$6</c:f>
              <c:strCache>
                <c:ptCount val="4"/>
                <c:pt idx="0">
                  <c:v>Clothing</c:v>
                </c:pt>
                <c:pt idx="1">
                  <c:v>Electronics</c:v>
                </c:pt>
                <c:pt idx="2">
                  <c:v>Food</c:v>
                </c:pt>
                <c:pt idx="3">
                  <c:v>Furniture</c:v>
                </c:pt>
              </c:strCache>
            </c:strRef>
          </c:cat>
          <c:val>
            <c:numRef>
              <c:f>Jawaban!$C$3:$C$6</c:f>
              <c:numCache>
                <c:formatCode>_("$"* #,##0_);_("$"* \(#,##0\);_("$"* "-"??_);_(@_)</c:formatCode>
                <c:ptCount val="4"/>
                <c:pt idx="0">
                  <c:v>6391.6335820895265</c:v>
                </c:pt>
                <c:pt idx="1">
                  <c:v>6399.6750406503807</c:v>
                </c:pt>
                <c:pt idx="2">
                  <c:v>6288.088716814138</c:v>
                </c:pt>
                <c:pt idx="3">
                  <c:v>6844.0813846153596</c:v>
                </c:pt>
              </c:numCache>
            </c:numRef>
          </c:val>
          <c:extLst>
            <c:ext xmlns:c16="http://schemas.microsoft.com/office/drawing/2014/chart" uri="{C3380CC4-5D6E-409C-BE32-E72D297353CC}">
              <c16:uniqueId val="{00000014-D6E8-4F95-B67F-62952FD1E69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[sales_data.xlsx]Jawaban!Jawaban 5</c:name>
    <c:fmtId val="0"/>
  </c:pivotSource>
  <c:chart>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5875" cap="rnd">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Jawaban!$B$64</c:f>
              <c:strCache>
                <c:ptCount val="1"/>
                <c:pt idx="0">
                  <c:v>Sum of Net_profit</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multiLvlStrRef>
              <c:f>Jawaban!$A$65:$A$80</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Jawaban!$B$65:$B$80</c:f>
              <c:numCache>
                <c:formatCode>_("$"* #,##0_);_("$"* \(#,##0\);_("$"* "-"??_);_(@_)</c:formatCode>
                <c:ptCount val="13"/>
                <c:pt idx="0">
                  <c:v>655202.58999999729</c:v>
                </c:pt>
                <c:pt idx="1">
                  <c:v>478053.07999999874</c:v>
                </c:pt>
                <c:pt idx="2">
                  <c:v>528631.8099999968</c:v>
                </c:pt>
                <c:pt idx="3">
                  <c:v>496006.81999999878</c:v>
                </c:pt>
                <c:pt idx="4">
                  <c:v>489472.14999999799</c:v>
                </c:pt>
                <c:pt idx="5">
                  <c:v>605992.19999999739</c:v>
                </c:pt>
                <c:pt idx="6">
                  <c:v>447678.75999999838</c:v>
                </c:pt>
                <c:pt idx="7">
                  <c:v>558417.68999999878</c:v>
                </c:pt>
                <c:pt idx="8">
                  <c:v>472940.51999999786</c:v>
                </c:pt>
                <c:pt idx="9">
                  <c:v>584679.82999999821</c:v>
                </c:pt>
                <c:pt idx="10">
                  <c:v>557812.05999999796</c:v>
                </c:pt>
                <c:pt idx="11">
                  <c:v>590397.54999999714</c:v>
                </c:pt>
                <c:pt idx="12">
                  <c:v>22562.01</c:v>
                </c:pt>
              </c:numCache>
            </c:numRef>
          </c:val>
          <c:extLst>
            <c:ext xmlns:c16="http://schemas.microsoft.com/office/drawing/2014/chart" uri="{C3380CC4-5D6E-409C-BE32-E72D297353CC}">
              <c16:uniqueId val="{00000000-5407-4386-BC2B-53EE9D00FD0E}"/>
            </c:ext>
          </c:extLst>
        </c:ser>
        <c:dLbls>
          <c:showLegendKey val="0"/>
          <c:showVal val="0"/>
          <c:showCatName val="0"/>
          <c:showSerName val="0"/>
          <c:showPercent val="0"/>
          <c:showBubbleSize val="0"/>
        </c:dLbls>
        <c:gapWidth val="219"/>
        <c:axId val="1159792176"/>
        <c:axId val="1159786768"/>
      </c:barChart>
      <c:lineChart>
        <c:grouping val="standard"/>
        <c:varyColors val="0"/>
        <c:ser>
          <c:idx val="1"/>
          <c:order val="1"/>
          <c:tx>
            <c:strRef>
              <c:f>Jawaban!$C$64</c:f>
              <c:strCache>
                <c:ptCount val="1"/>
                <c:pt idx="0">
                  <c:v>Sum of Quantity_Sold</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multiLvlStrRef>
              <c:f>Jawaban!$A$65:$A$80</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Jawaban!$C$65:$C$80</c:f>
              <c:numCache>
                <c:formatCode>General</c:formatCode>
                <c:ptCount val="13"/>
                <c:pt idx="0">
                  <c:v>2472</c:v>
                </c:pt>
                <c:pt idx="1">
                  <c:v>2064</c:v>
                </c:pt>
                <c:pt idx="2">
                  <c:v>2069</c:v>
                </c:pt>
                <c:pt idx="3">
                  <c:v>1977</c:v>
                </c:pt>
                <c:pt idx="4">
                  <c:v>1968</c:v>
                </c:pt>
                <c:pt idx="5">
                  <c:v>2276</c:v>
                </c:pt>
                <c:pt idx="6">
                  <c:v>1603</c:v>
                </c:pt>
                <c:pt idx="7">
                  <c:v>2336</c:v>
                </c:pt>
                <c:pt idx="8">
                  <c:v>1815</c:v>
                </c:pt>
                <c:pt idx="9">
                  <c:v>2386</c:v>
                </c:pt>
                <c:pt idx="10">
                  <c:v>2129</c:v>
                </c:pt>
                <c:pt idx="11">
                  <c:v>2183</c:v>
                </c:pt>
                <c:pt idx="12">
                  <c:v>77</c:v>
                </c:pt>
              </c:numCache>
            </c:numRef>
          </c:val>
          <c:smooth val="0"/>
          <c:extLst>
            <c:ext xmlns:c16="http://schemas.microsoft.com/office/drawing/2014/chart" uri="{C3380CC4-5D6E-409C-BE32-E72D297353CC}">
              <c16:uniqueId val="{00000001-5407-4386-BC2B-53EE9D00FD0E}"/>
            </c:ext>
          </c:extLst>
        </c:ser>
        <c:dLbls>
          <c:showLegendKey val="0"/>
          <c:showVal val="0"/>
          <c:showCatName val="0"/>
          <c:showSerName val="0"/>
          <c:showPercent val="0"/>
          <c:showBubbleSize val="0"/>
        </c:dLbls>
        <c:marker val="1"/>
        <c:smooth val="0"/>
        <c:axId val="1407975136"/>
        <c:axId val="1407974720"/>
      </c:lineChart>
      <c:catAx>
        <c:axId val="115979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59786768"/>
        <c:crosses val="autoZero"/>
        <c:auto val="1"/>
        <c:lblAlgn val="ctr"/>
        <c:lblOffset val="100"/>
        <c:noMultiLvlLbl val="0"/>
      </c:catAx>
      <c:valAx>
        <c:axId val="11597867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59792176"/>
        <c:crossesAt val="1"/>
        <c:crossBetween val="between"/>
      </c:valAx>
      <c:valAx>
        <c:axId val="140797472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07975136"/>
        <c:crosses val="max"/>
        <c:crossBetween val="between"/>
      </c:valAx>
      <c:catAx>
        <c:axId val="1407975136"/>
        <c:scaling>
          <c:orientation val="minMax"/>
        </c:scaling>
        <c:delete val="1"/>
        <c:axPos val="b"/>
        <c:numFmt formatCode="General" sourceLinked="1"/>
        <c:majorTickMark val="none"/>
        <c:minorTickMark val="none"/>
        <c:tickLblPos val="nextTo"/>
        <c:crossAx val="14079747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[sales_data.xlsx]Jawaban!Jawaban 7</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Jawaban!$B$91</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79AA-471C-86CA-C10A8DC9C89A}"/>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79AA-471C-86CA-C10A8DC9C89A}"/>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79AA-471C-86CA-C10A8DC9C89A}"/>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79AA-471C-86CA-C10A8DC9C8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Jawaban!$A$92:$A$96</c:f>
              <c:strCache>
                <c:ptCount val="4"/>
                <c:pt idx="0">
                  <c:v>East</c:v>
                </c:pt>
                <c:pt idx="1">
                  <c:v>North</c:v>
                </c:pt>
                <c:pt idx="2">
                  <c:v>South</c:v>
                </c:pt>
                <c:pt idx="3">
                  <c:v>West</c:v>
                </c:pt>
              </c:strCache>
            </c:strRef>
          </c:cat>
          <c:val>
            <c:numRef>
              <c:f>Jawaban!$B$92:$B$96</c:f>
              <c:numCache>
                <c:formatCode>_("$"* #,##0_);_("$"* \(#,##0\);_("$"* "-"??_);_(@_)</c:formatCode>
                <c:ptCount val="4"/>
                <c:pt idx="0">
                  <c:v>1650557.1999999934</c:v>
                </c:pt>
                <c:pt idx="1">
                  <c:v>1661461.1999999941</c:v>
                </c:pt>
                <c:pt idx="2">
                  <c:v>1519736.8999999929</c:v>
                </c:pt>
                <c:pt idx="3">
                  <c:v>1656091.7699999954</c:v>
                </c:pt>
              </c:numCache>
            </c:numRef>
          </c:val>
          <c:extLst>
            <c:ext xmlns:c16="http://schemas.microsoft.com/office/drawing/2014/chart" uri="{C3380CC4-5D6E-409C-BE32-E72D297353CC}">
              <c16:uniqueId val="{00000000-C82D-4684-A7AE-7BE74763904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[sales_data.xlsx]Jawaban!Jawaban 7</c:name>
    <c:fmtId val="2"/>
  </c:pivotSource>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US"/>
              <a:t>Profit Per Region</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Jawaban!$B$91</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D269-4DF0-80EF-1FA4571E86ED}"/>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D269-4DF0-80EF-1FA4571E86ED}"/>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D269-4DF0-80EF-1FA4571E86ED}"/>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D269-4DF0-80EF-1FA4571E86ED}"/>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1"/>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Jawaban!$A$92:$A$96</c:f>
              <c:strCache>
                <c:ptCount val="4"/>
                <c:pt idx="0">
                  <c:v>East</c:v>
                </c:pt>
                <c:pt idx="1">
                  <c:v>North</c:v>
                </c:pt>
                <c:pt idx="2">
                  <c:v>South</c:v>
                </c:pt>
                <c:pt idx="3">
                  <c:v>West</c:v>
                </c:pt>
              </c:strCache>
            </c:strRef>
          </c:cat>
          <c:val>
            <c:numRef>
              <c:f>Jawaban!$B$92:$B$96</c:f>
              <c:numCache>
                <c:formatCode>_("$"* #,##0_);_("$"* \(#,##0\);_("$"* "-"??_);_(@_)</c:formatCode>
                <c:ptCount val="4"/>
                <c:pt idx="0">
                  <c:v>1650557.1999999934</c:v>
                </c:pt>
                <c:pt idx="1">
                  <c:v>1661461.1999999941</c:v>
                </c:pt>
                <c:pt idx="2">
                  <c:v>1519736.8999999929</c:v>
                </c:pt>
                <c:pt idx="3">
                  <c:v>1656091.7699999954</c:v>
                </c:pt>
              </c:numCache>
            </c:numRef>
          </c:val>
          <c:extLst>
            <c:ext xmlns:c16="http://schemas.microsoft.com/office/drawing/2014/chart" uri="{C3380CC4-5D6E-409C-BE32-E72D297353CC}">
              <c16:uniqueId val="{00000008-D269-4DF0-80EF-1FA4571E86E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059951842443783"/>
          <c:y val="0.30502832713914685"/>
          <c:w val="0.24270983396748302"/>
          <c:h val="0.4912716512265000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[sales_data.xlsx]Jawaban!Jawaban 5</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GB"/>
              <a:t>Grafik Penjualan</a:t>
            </a:r>
            <a:r>
              <a:rPr lang="en-GB" baseline="0"/>
              <a:t> Per Bulan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Jawaban!$B$64</c:f>
              <c:strCache>
                <c:ptCount val="1"/>
                <c:pt idx="0">
                  <c:v>Sum of Net_profit</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multiLvlStrRef>
              <c:f>Jawaban!$A$65:$A$80</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Jawaban!$B$65:$B$80</c:f>
              <c:numCache>
                <c:formatCode>_("$"* #,##0_);_("$"* \(#,##0\);_("$"* "-"??_);_(@_)</c:formatCode>
                <c:ptCount val="13"/>
                <c:pt idx="0">
                  <c:v>655202.58999999729</c:v>
                </c:pt>
                <c:pt idx="1">
                  <c:v>478053.07999999874</c:v>
                </c:pt>
                <c:pt idx="2">
                  <c:v>528631.8099999968</c:v>
                </c:pt>
                <c:pt idx="3">
                  <c:v>496006.81999999878</c:v>
                </c:pt>
                <c:pt idx="4">
                  <c:v>489472.14999999799</c:v>
                </c:pt>
                <c:pt idx="5">
                  <c:v>605992.19999999739</c:v>
                </c:pt>
                <c:pt idx="6">
                  <c:v>447678.75999999838</c:v>
                </c:pt>
                <c:pt idx="7">
                  <c:v>558417.68999999878</c:v>
                </c:pt>
                <c:pt idx="8">
                  <c:v>472940.51999999786</c:v>
                </c:pt>
                <c:pt idx="9">
                  <c:v>584679.82999999821</c:v>
                </c:pt>
                <c:pt idx="10">
                  <c:v>557812.05999999796</c:v>
                </c:pt>
                <c:pt idx="11">
                  <c:v>590397.54999999714</c:v>
                </c:pt>
                <c:pt idx="12">
                  <c:v>22562.01</c:v>
                </c:pt>
              </c:numCache>
            </c:numRef>
          </c:val>
          <c:extLst>
            <c:ext xmlns:c16="http://schemas.microsoft.com/office/drawing/2014/chart" uri="{C3380CC4-5D6E-409C-BE32-E72D297353CC}">
              <c16:uniqueId val="{00000000-AA3A-4242-8B4D-D5D0E656EE27}"/>
            </c:ext>
          </c:extLst>
        </c:ser>
        <c:dLbls>
          <c:showLegendKey val="0"/>
          <c:showVal val="0"/>
          <c:showCatName val="0"/>
          <c:showSerName val="0"/>
          <c:showPercent val="0"/>
          <c:showBubbleSize val="0"/>
        </c:dLbls>
        <c:gapWidth val="219"/>
        <c:axId val="1159792176"/>
        <c:axId val="1159786768"/>
      </c:barChart>
      <c:lineChart>
        <c:grouping val="standard"/>
        <c:varyColors val="0"/>
        <c:ser>
          <c:idx val="1"/>
          <c:order val="1"/>
          <c:tx>
            <c:strRef>
              <c:f>Jawaban!$C$64</c:f>
              <c:strCache>
                <c:ptCount val="1"/>
                <c:pt idx="0">
                  <c:v>Sum of Quantity_Sold</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multiLvlStrRef>
              <c:f>Jawaban!$A$65:$A$80</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Jawaban!$C$65:$C$80</c:f>
              <c:numCache>
                <c:formatCode>General</c:formatCode>
                <c:ptCount val="13"/>
                <c:pt idx="0">
                  <c:v>2472</c:v>
                </c:pt>
                <c:pt idx="1">
                  <c:v>2064</c:v>
                </c:pt>
                <c:pt idx="2">
                  <c:v>2069</c:v>
                </c:pt>
                <c:pt idx="3">
                  <c:v>1977</c:v>
                </c:pt>
                <c:pt idx="4">
                  <c:v>1968</c:v>
                </c:pt>
                <c:pt idx="5">
                  <c:v>2276</c:v>
                </c:pt>
                <c:pt idx="6">
                  <c:v>1603</c:v>
                </c:pt>
                <c:pt idx="7">
                  <c:v>2336</c:v>
                </c:pt>
                <c:pt idx="8">
                  <c:v>1815</c:v>
                </c:pt>
                <c:pt idx="9">
                  <c:v>2386</c:v>
                </c:pt>
                <c:pt idx="10">
                  <c:v>2129</c:v>
                </c:pt>
                <c:pt idx="11">
                  <c:v>2183</c:v>
                </c:pt>
                <c:pt idx="12">
                  <c:v>77</c:v>
                </c:pt>
              </c:numCache>
            </c:numRef>
          </c:val>
          <c:smooth val="0"/>
          <c:extLst>
            <c:ext xmlns:c16="http://schemas.microsoft.com/office/drawing/2014/chart" uri="{C3380CC4-5D6E-409C-BE32-E72D297353CC}">
              <c16:uniqueId val="{00000001-AA3A-4242-8B4D-D5D0E656EE27}"/>
            </c:ext>
          </c:extLst>
        </c:ser>
        <c:dLbls>
          <c:showLegendKey val="0"/>
          <c:showVal val="0"/>
          <c:showCatName val="0"/>
          <c:showSerName val="0"/>
          <c:showPercent val="0"/>
          <c:showBubbleSize val="0"/>
        </c:dLbls>
        <c:marker val="1"/>
        <c:smooth val="0"/>
        <c:axId val="1407975136"/>
        <c:axId val="1407974720"/>
      </c:lineChart>
      <c:catAx>
        <c:axId val="115979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59786768"/>
        <c:crosses val="autoZero"/>
        <c:auto val="1"/>
        <c:lblAlgn val="ctr"/>
        <c:lblOffset val="100"/>
        <c:noMultiLvlLbl val="0"/>
      </c:catAx>
      <c:valAx>
        <c:axId val="11597867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59792176"/>
        <c:crossesAt val="1"/>
        <c:crossBetween val="between"/>
      </c:valAx>
      <c:valAx>
        <c:axId val="140797472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07975136"/>
        <c:crosses val="max"/>
        <c:crossBetween val="between"/>
      </c:valAx>
      <c:catAx>
        <c:axId val="1407975136"/>
        <c:scaling>
          <c:orientation val="minMax"/>
        </c:scaling>
        <c:delete val="1"/>
        <c:axPos val="b"/>
        <c:numFmt formatCode="General" sourceLinked="1"/>
        <c:majorTickMark val="none"/>
        <c:minorTickMark val="none"/>
        <c:tickLblPos val="nextTo"/>
        <c:crossAx val="140797472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[sales_data.xlsx]Jawaban!Jawaban 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Perilaku Konsumen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Jawaban!$B$31:$B$32</c:f>
              <c:strCache>
                <c:ptCount val="1"/>
                <c:pt idx="0">
                  <c:v>Bank Transfer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Jawaban!$A$33:$A$37</c:f>
              <c:strCache>
                <c:ptCount val="4"/>
                <c:pt idx="0">
                  <c:v>East</c:v>
                </c:pt>
                <c:pt idx="1">
                  <c:v>North</c:v>
                </c:pt>
                <c:pt idx="2">
                  <c:v>South</c:v>
                </c:pt>
                <c:pt idx="3">
                  <c:v>West</c:v>
                </c:pt>
              </c:strCache>
            </c:strRef>
          </c:cat>
          <c:val>
            <c:numRef>
              <c:f>Jawaban!$B$33:$B$37</c:f>
              <c:numCache>
                <c:formatCode>General</c:formatCode>
                <c:ptCount val="4"/>
                <c:pt idx="0">
                  <c:v>90</c:v>
                </c:pt>
                <c:pt idx="1">
                  <c:v>83</c:v>
                </c:pt>
                <c:pt idx="2">
                  <c:v>83</c:v>
                </c:pt>
                <c:pt idx="3">
                  <c:v>86</c:v>
                </c:pt>
              </c:numCache>
            </c:numRef>
          </c:val>
          <c:extLst>
            <c:ext xmlns:c16="http://schemas.microsoft.com/office/drawing/2014/chart" uri="{C3380CC4-5D6E-409C-BE32-E72D297353CC}">
              <c16:uniqueId val="{00000000-D809-4B4B-8C43-D691529B2F15}"/>
            </c:ext>
          </c:extLst>
        </c:ser>
        <c:ser>
          <c:idx val="1"/>
          <c:order val="1"/>
          <c:tx>
            <c:strRef>
              <c:f>Jawaban!$C$31:$C$32</c:f>
              <c:strCache>
                <c:ptCount val="1"/>
                <c:pt idx="0">
                  <c:v>Cash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Jawaban!$A$33:$A$37</c:f>
              <c:strCache>
                <c:ptCount val="4"/>
                <c:pt idx="0">
                  <c:v>East</c:v>
                </c:pt>
                <c:pt idx="1">
                  <c:v>North</c:v>
                </c:pt>
                <c:pt idx="2">
                  <c:v>South</c:v>
                </c:pt>
                <c:pt idx="3">
                  <c:v>West</c:v>
                </c:pt>
              </c:strCache>
            </c:strRef>
          </c:cat>
          <c:val>
            <c:numRef>
              <c:f>Jawaban!$C$33:$C$37</c:f>
              <c:numCache>
                <c:formatCode>General</c:formatCode>
                <c:ptCount val="4"/>
                <c:pt idx="0">
                  <c:v>80</c:v>
                </c:pt>
                <c:pt idx="1">
                  <c:v>84</c:v>
                </c:pt>
                <c:pt idx="2">
                  <c:v>68</c:v>
                </c:pt>
                <c:pt idx="3">
                  <c:v>81</c:v>
                </c:pt>
              </c:numCache>
            </c:numRef>
          </c:val>
          <c:extLst>
            <c:ext xmlns:c16="http://schemas.microsoft.com/office/drawing/2014/chart" uri="{C3380CC4-5D6E-409C-BE32-E72D297353CC}">
              <c16:uniqueId val="{00000003-CC35-4579-80A4-AA82BB1A4E74}"/>
            </c:ext>
          </c:extLst>
        </c:ser>
        <c:ser>
          <c:idx val="2"/>
          <c:order val="2"/>
          <c:tx>
            <c:strRef>
              <c:f>Jawaban!$D$31:$D$32</c:f>
              <c:strCache>
                <c:ptCount val="1"/>
                <c:pt idx="0">
                  <c:v>Credit Card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Jawaban!$A$33:$A$37</c:f>
              <c:strCache>
                <c:ptCount val="4"/>
                <c:pt idx="0">
                  <c:v>East</c:v>
                </c:pt>
                <c:pt idx="1">
                  <c:v>North</c:v>
                </c:pt>
                <c:pt idx="2">
                  <c:v>South</c:v>
                </c:pt>
                <c:pt idx="3">
                  <c:v>West</c:v>
                </c:pt>
              </c:strCache>
            </c:strRef>
          </c:cat>
          <c:val>
            <c:numRef>
              <c:f>Jawaban!$D$33:$D$37</c:f>
              <c:numCache>
                <c:formatCode>General</c:formatCode>
                <c:ptCount val="4"/>
                <c:pt idx="0">
                  <c:v>93</c:v>
                </c:pt>
                <c:pt idx="1">
                  <c:v>100</c:v>
                </c:pt>
                <c:pt idx="2">
                  <c:v>75</c:v>
                </c:pt>
                <c:pt idx="3">
                  <c:v>77</c:v>
                </c:pt>
              </c:numCache>
            </c:numRef>
          </c:val>
          <c:extLst>
            <c:ext xmlns:c16="http://schemas.microsoft.com/office/drawing/2014/chart" uri="{C3380CC4-5D6E-409C-BE32-E72D297353CC}">
              <c16:uniqueId val="{00000004-CC35-4579-80A4-AA82BB1A4E74}"/>
            </c:ext>
          </c:extLst>
        </c:ser>
        <c:dLbls>
          <c:dLblPos val="outEnd"/>
          <c:showLegendKey val="0"/>
          <c:showVal val="1"/>
          <c:showCatName val="0"/>
          <c:showSerName val="0"/>
          <c:showPercent val="0"/>
          <c:showBubbleSize val="0"/>
        </c:dLbls>
        <c:gapWidth val="219"/>
        <c:overlap val="-27"/>
        <c:axId val="344170848"/>
        <c:axId val="344164192"/>
      </c:barChart>
      <c:catAx>
        <c:axId val="34417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164192"/>
        <c:crosses val="autoZero"/>
        <c:auto val="1"/>
        <c:lblAlgn val="ctr"/>
        <c:lblOffset val="100"/>
        <c:noMultiLvlLbl val="0"/>
      </c:catAx>
      <c:valAx>
        <c:axId val="34416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17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[sales_data.xlsx]Jawaban!Jawaban 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100"/>
              <a:t>Top 5 Product_Id by Quantity Sold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Jawaban!$B$82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Jawaban!$A$83:$A$88</c:f>
              <c:strCache>
                <c:ptCount val="5"/>
                <c:pt idx="0">
                  <c:v>1058</c:v>
                </c:pt>
                <c:pt idx="1">
                  <c:v>1099</c:v>
                </c:pt>
                <c:pt idx="2">
                  <c:v>1062</c:v>
                </c:pt>
                <c:pt idx="3">
                  <c:v>1092</c:v>
                </c:pt>
                <c:pt idx="4">
                  <c:v>1090</c:v>
                </c:pt>
              </c:strCache>
            </c:strRef>
          </c:cat>
          <c:val>
            <c:numRef>
              <c:f>Jawaban!$B$83:$B$88</c:f>
              <c:numCache>
                <c:formatCode>General</c:formatCode>
                <c:ptCount val="5"/>
                <c:pt idx="0">
                  <c:v>452</c:v>
                </c:pt>
                <c:pt idx="1">
                  <c:v>502</c:v>
                </c:pt>
                <c:pt idx="2">
                  <c:v>506</c:v>
                </c:pt>
                <c:pt idx="3">
                  <c:v>548</c:v>
                </c:pt>
                <c:pt idx="4">
                  <c:v>590</c:v>
                </c:pt>
              </c:numCache>
            </c:numRef>
          </c:val>
          <c:extLst>
            <c:ext xmlns:c16="http://schemas.microsoft.com/office/drawing/2014/chart" uri="{C3380CC4-5D6E-409C-BE32-E72D297353CC}">
              <c16:uniqueId val="{00000000-4AB6-49A4-87F4-0DE3D5B8FE0C}"/>
            </c:ext>
          </c:extLst>
        </c:ser>
        <c:dLbls>
          <c:dLblPos val="inEnd"/>
          <c:showLegendKey val="0"/>
          <c:showVal val="1"/>
          <c:showCatName val="0"/>
          <c:showSerName val="0"/>
          <c:showPercent val="0"/>
          <c:showBubbleSize val="0"/>
        </c:dLbls>
        <c:gapWidth val="65"/>
        <c:axId val="1758920832"/>
        <c:axId val="1758921248"/>
      </c:barChart>
      <c:catAx>
        <c:axId val="17589208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58921248"/>
        <c:crosses val="autoZero"/>
        <c:auto val="1"/>
        <c:lblAlgn val="ctr"/>
        <c:lblOffset val="100"/>
        <c:noMultiLvlLbl val="0"/>
      </c:catAx>
      <c:valAx>
        <c:axId val="17589212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5892083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[sales_data.xlsx]Jawaban!PivotTable1</c:name>
    <c:fmtId val="2"/>
  </c:pivotSource>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a:t>Sales Performance at 2023-2024</a:t>
            </a: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rgbClr val="92D050"/>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Jawaban!$B$107</c:f>
              <c:strCache>
                <c:ptCount val="1"/>
                <c:pt idx="0">
                  <c:v>Total</c:v>
                </c:pt>
              </c:strCache>
            </c:strRef>
          </c:tx>
          <c:spPr>
            <a:solidFill>
              <a:srgbClr val="92D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Jawaban!$A$108:$A$113</c:f>
              <c:strCache>
                <c:ptCount val="5"/>
                <c:pt idx="0">
                  <c:v>Charlie</c:v>
                </c:pt>
                <c:pt idx="1">
                  <c:v>Bob</c:v>
                </c:pt>
                <c:pt idx="2">
                  <c:v>Alice</c:v>
                </c:pt>
                <c:pt idx="3">
                  <c:v>Eve</c:v>
                </c:pt>
                <c:pt idx="4">
                  <c:v>David</c:v>
                </c:pt>
              </c:strCache>
            </c:strRef>
          </c:cat>
          <c:val>
            <c:numRef>
              <c:f>Jawaban!$B$108:$B$113</c:f>
              <c:numCache>
                <c:formatCode>_("$"* #,##0_);_("$"* \(#,##0\);_("$"* "-"??_);_(@_)</c:formatCode>
                <c:ptCount val="5"/>
                <c:pt idx="0">
                  <c:v>1071393.1599999974</c:v>
                </c:pt>
                <c:pt idx="1">
                  <c:v>1170800.2399999925</c:v>
                </c:pt>
                <c:pt idx="2">
                  <c:v>1294822.0099999974</c:v>
                </c:pt>
                <c:pt idx="3">
                  <c:v>1449081.8999999948</c:v>
                </c:pt>
                <c:pt idx="4">
                  <c:v>1501749.7599999942</c:v>
                </c:pt>
              </c:numCache>
            </c:numRef>
          </c:val>
          <c:extLst>
            <c:ext xmlns:c16="http://schemas.microsoft.com/office/drawing/2014/chart" uri="{C3380CC4-5D6E-409C-BE32-E72D297353CC}">
              <c16:uniqueId val="{00000000-6F89-4E9D-A606-9DA5721F7BCC}"/>
            </c:ext>
          </c:extLst>
        </c:ser>
        <c:dLbls>
          <c:dLblPos val="inEnd"/>
          <c:showLegendKey val="0"/>
          <c:showVal val="1"/>
          <c:showCatName val="0"/>
          <c:showSerName val="0"/>
          <c:showPercent val="0"/>
          <c:showBubbleSize val="0"/>
        </c:dLbls>
        <c:gapWidth val="65"/>
        <c:axId val="318646416"/>
        <c:axId val="318663472"/>
      </c:barChart>
      <c:catAx>
        <c:axId val="3186464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n-US"/>
          </a:p>
        </c:txPr>
        <c:crossAx val="318663472"/>
        <c:crosses val="autoZero"/>
        <c:auto val="1"/>
        <c:lblAlgn val="ctr"/>
        <c:lblOffset val="100"/>
        <c:noMultiLvlLbl val="0"/>
      </c:catAx>
      <c:valAx>
        <c:axId val="31866347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186464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accent6">
          <a:lumMod val="40000"/>
          <a:lumOff val="6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57150</xdr:colOff>
      <xdr:row>0</xdr:row>
      <xdr:rowOff>63499</xdr:rowOff>
    </xdr:from>
    <xdr:to>
      <xdr:col>7</xdr:col>
      <xdr:colOff>753284</xdr:colOff>
      <xdr:row>13</xdr:row>
      <xdr:rowOff>60324</xdr:rowOff>
    </xdr:to>
    <xdr:graphicFrame macro="">
      <xdr:nvGraphicFramePr>
        <xdr:cNvPr id="2" name="Chart 1">
          <a:extLst>
            <a:ext uri="{FF2B5EF4-FFF2-40B4-BE49-F238E27FC236}">
              <a16:creationId xmlns:a16="http://schemas.microsoft.com/office/drawing/2014/main" id="{C8F7743D-62EB-48B9-B4E5-9E8C74104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682830</xdr:colOff>
      <xdr:row>63</xdr:row>
      <xdr:rowOff>67458</xdr:rowOff>
    </xdr:from>
    <xdr:to>
      <xdr:col>11</xdr:col>
      <xdr:colOff>192989</xdr:colOff>
      <xdr:row>78</xdr:row>
      <xdr:rowOff>89229</xdr:rowOff>
    </xdr:to>
    <xdr:graphicFrame macro="">
      <xdr:nvGraphicFramePr>
        <xdr:cNvPr id="3" name="Chart 2">
          <a:extLst>
            <a:ext uri="{FF2B5EF4-FFF2-40B4-BE49-F238E27FC236}">
              <a16:creationId xmlns:a16="http://schemas.microsoft.com/office/drawing/2014/main" id="{A71EF128-CB0C-4AF5-BAED-FD378FE00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490568</xdr:colOff>
      <xdr:row>82</xdr:row>
      <xdr:rowOff>93380</xdr:rowOff>
    </xdr:from>
    <xdr:to>
      <xdr:col>12</xdr:col>
      <xdr:colOff>429559</xdr:colOff>
      <xdr:row>94</xdr:row>
      <xdr:rowOff>104711</xdr:rowOff>
    </xdr:to>
    <xdr:graphicFrame macro="">
      <xdr:nvGraphicFramePr>
        <xdr:cNvPr id="5" name="Chart 4">
          <a:extLst>
            <a:ext uri="{FF2B5EF4-FFF2-40B4-BE49-F238E27FC236}">
              <a16:creationId xmlns:a16="http://schemas.microsoft.com/office/drawing/2014/main" id="{528D7FD8-9C1C-472E-A73B-833E2EB03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28</xdr:col>
      <xdr:colOff>154272</xdr:colOff>
      <xdr:row>33</xdr:row>
      <xdr:rowOff>31132</xdr:rowOff>
    </xdr:from>
    <xdr:to>
      <xdr:col>35</xdr:col>
      <xdr:colOff>426784</xdr:colOff>
      <xdr:row>47</xdr:row>
      <xdr:rowOff>165060</xdr:rowOff>
    </xdr:to>
    <xdr:graphicFrame macro="">
      <xdr:nvGraphicFramePr>
        <xdr:cNvPr id="2" name="Chart 1">
          <a:extLst>
            <a:ext uri="{FF2B5EF4-FFF2-40B4-BE49-F238E27FC236}">
              <a16:creationId xmlns:a16="http://schemas.microsoft.com/office/drawing/2014/main" id="{D5540313-033A-4E61-B14F-7931DCDAA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1066115</xdr:colOff>
      <xdr:row>15</xdr:row>
      <xdr:rowOff>109335</xdr:rowOff>
    </xdr:from>
    <xdr:to>
      <xdr:col>19</xdr:col>
      <xdr:colOff>317500</xdr:colOff>
      <xdr:row>33</xdr:row>
      <xdr:rowOff>0</xdr:rowOff>
    </xdr:to>
    <xdr:graphicFrame macro="">
      <xdr:nvGraphicFramePr>
        <xdr:cNvPr id="3" name="Chart 2">
          <a:extLst>
            <a:ext uri="{FF2B5EF4-FFF2-40B4-BE49-F238E27FC236}">
              <a16:creationId xmlns:a16="http://schemas.microsoft.com/office/drawing/2014/main" id="{4AB7CE0D-F02B-455F-81C0-0D9BE332E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11882</xdr:colOff>
      <xdr:row>7</xdr:row>
      <xdr:rowOff>98535</xdr:rowOff>
    </xdr:from>
    <xdr:to>
      <xdr:col>2</xdr:col>
      <xdr:colOff>952500</xdr:colOff>
      <xdr:row>18</xdr:row>
      <xdr:rowOff>109485</xdr:rowOff>
    </xdr:to>
    <mc:AlternateContent xmlns:mc="http://schemas.openxmlformats.org/markup-compatibility/2006" xmlns:a14="http://schemas.microsoft.com/office/drawing/2010/main">
      <mc:Choice Requires="a14">
        <xdr:graphicFrame macro="">
          <xdr:nvGraphicFramePr>
            <xdr:cNvPr id="4" name="Sales_Rep">
              <a:extLst>
                <a:ext uri="{FF2B5EF4-FFF2-40B4-BE49-F238E27FC236}">
                  <a16:creationId xmlns:a16="http://schemas.microsoft.com/office/drawing/2014/main" id="{34474DA8-4E39-43B7-A001-A0FB7F49402B}"/>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621482" y="1432035"/>
              <a:ext cx="1943918" cy="2106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578556</xdr:colOff>
      <xdr:row>25</xdr:row>
      <xdr:rowOff>3800</xdr:rowOff>
    </xdr:from>
    <xdr:to>
      <xdr:col>2</xdr:col>
      <xdr:colOff>985344</xdr:colOff>
      <xdr:row>32</xdr:row>
      <xdr:rowOff>164224</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48EBC25B-7D73-413C-9EDA-C98784B040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8556" y="4766300"/>
              <a:ext cx="2019688" cy="14939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608958</xdr:colOff>
      <xdr:row>19</xdr:row>
      <xdr:rowOff>13987</xdr:rowOff>
    </xdr:from>
    <xdr:to>
      <xdr:col>2</xdr:col>
      <xdr:colOff>952500</xdr:colOff>
      <xdr:row>24</xdr:row>
      <xdr:rowOff>98535</xdr:rowOff>
    </xdr:to>
    <mc:AlternateContent xmlns:mc="http://schemas.openxmlformats.org/markup-compatibility/2006" xmlns:a14="http://schemas.microsoft.com/office/drawing/2010/main">
      <mc:Choice Requires="a14">
        <xdr:graphicFrame macro="">
          <xdr:nvGraphicFramePr>
            <xdr:cNvPr id="6" name="Customer_Type">
              <a:extLst>
                <a:ext uri="{FF2B5EF4-FFF2-40B4-BE49-F238E27FC236}">
                  <a16:creationId xmlns:a16="http://schemas.microsoft.com/office/drawing/2014/main" id="{9C81FF8C-59A0-4D7C-B328-197ECDB667CD}"/>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608958" y="3633487"/>
              <a:ext cx="1956442" cy="10370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1106212</xdr:colOff>
      <xdr:row>7</xdr:row>
      <xdr:rowOff>91682</xdr:rowOff>
    </xdr:from>
    <xdr:to>
      <xdr:col>19</xdr:col>
      <xdr:colOff>295602</xdr:colOff>
      <xdr:row>14</xdr:row>
      <xdr:rowOff>142482</xdr:rowOff>
    </xdr:to>
    <mc:AlternateContent xmlns:mc="http://schemas.openxmlformats.org/markup-compatibility/2006" xmlns:tsle="http://schemas.microsoft.com/office/drawing/2012/timeslicer">
      <mc:Choice Requires="tsle">
        <xdr:graphicFrame macro="">
          <xdr:nvGraphicFramePr>
            <xdr:cNvPr id="7" name="Sale_Date">
              <a:extLst>
                <a:ext uri="{FF2B5EF4-FFF2-40B4-BE49-F238E27FC236}">
                  <a16:creationId xmlns:a16="http://schemas.microsoft.com/office/drawing/2014/main" id="{F9023C84-E6FB-47E0-A3CD-E7A296D62DFD}"/>
                </a:ext>
              </a:extLst>
            </xdr:cNvPr>
            <xdr:cNvGraphicFramePr/>
          </xdr:nvGraphicFramePr>
          <xdr:xfrm>
            <a:off x="0" y="0"/>
            <a:ext cx="0" cy="0"/>
          </xdr:xfrm>
          <a:graphic>
            <a:graphicData uri="http://schemas.microsoft.com/office/drawing/2012/timeslicer">
              <tsle:timeslicer name="Sale_Date"/>
            </a:graphicData>
          </a:graphic>
        </xdr:graphicFrame>
      </mc:Choice>
      <mc:Fallback xmlns="">
        <xdr:sp macro="" textlink="">
          <xdr:nvSpPr>
            <xdr:cNvPr id="0" name=""/>
            <xdr:cNvSpPr>
              <a:spLocks noTextEdit="1"/>
            </xdr:cNvSpPr>
          </xdr:nvSpPr>
          <xdr:spPr>
            <a:xfrm>
              <a:off x="2719112" y="1425182"/>
              <a:ext cx="10352690" cy="13843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19</xdr:col>
      <xdr:colOff>472600</xdr:colOff>
      <xdr:row>10</xdr:row>
      <xdr:rowOff>45290</xdr:rowOff>
    </xdr:from>
    <xdr:to>
      <xdr:col>28</xdr:col>
      <xdr:colOff>173182</xdr:colOff>
      <xdr:row>32</xdr:row>
      <xdr:rowOff>173182</xdr:rowOff>
    </xdr:to>
    <xdr:graphicFrame macro="">
      <xdr:nvGraphicFramePr>
        <xdr:cNvPr id="8" name="Chart 7">
          <a:extLst>
            <a:ext uri="{FF2B5EF4-FFF2-40B4-BE49-F238E27FC236}">
              <a16:creationId xmlns:a16="http://schemas.microsoft.com/office/drawing/2014/main" id="{74AEF0DF-72DC-4F93-A29E-6AD60D879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547997</xdr:colOff>
      <xdr:row>1</xdr:row>
      <xdr:rowOff>49796</xdr:rowOff>
    </xdr:from>
    <xdr:to>
      <xdr:col>24</xdr:col>
      <xdr:colOff>155083</xdr:colOff>
      <xdr:row>4</xdr:row>
      <xdr:rowOff>127188</xdr:rowOff>
    </xdr:to>
    <xdr:sp macro="" textlink="">
      <xdr:nvSpPr>
        <xdr:cNvPr id="11" name="Rectangle: Rounded Corners 10">
          <a:extLst>
            <a:ext uri="{FF2B5EF4-FFF2-40B4-BE49-F238E27FC236}">
              <a16:creationId xmlns:a16="http://schemas.microsoft.com/office/drawing/2014/main" id="{2663DBC4-B1DB-4BBC-8D36-E1013F91A140}"/>
            </a:ext>
          </a:extLst>
        </xdr:cNvPr>
        <xdr:cNvSpPr/>
      </xdr:nvSpPr>
      <xdr:spPr>
        <a:xfrm>
          <a:off x="13933797" y="240296"/>
          <a:ext cx="2045486" cy="648892"/>
        </a:xfrm>
        <a:prstGeom prst="roundRect">
          <a:avLst/>
        </a:prstGeom>
        <a:solidFill>
          <a:srgbClr val="00FF00"/>
        </a:solidFill>
        <a:ln>
          <a:solidFill>
            <a:schemeClr val="accent5"/>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GB" sz="2000" b="1" cap="none" spc="0">
              <a:ln/>
              <a:solidFill>
                <a:schemeClr val="tx1"/>
              </a:solidFill>
              <a:effectLst/>
            </a:rPr>
            <a:t>Total</a:t>
          </a:r>
          <a:r>
            <a:rPr lang="en-GB" sz="2000" b="1" cap="none" spc="0" baseline="0">
              <a:ln/>
              <a:solidFill>
                <a:schemeClr val="tx1"/>
              </a:solidFill>
              <a:effectLst/>
            </a:rPr>
            <a:t> Profit</a:t>
          </a:r>
          <a:endParaRPr lang="en-GB" sz="2000" b="1" cap="none" spc="0">
            <a:ln/>
            <a:solidFill>
              <a:schemeClr val="tx1"/>
            </a:solidFill>
            <a:effectLst/>
          </a:endParaRPr>
        </a:p>
      </xdr:txBody>
    </xdr:sp>
    <xdr:clientData/>
  </xdr:twoCellAnchor>
  <xdr:twoCellAnchor>
    <xdr:from>
      <xdr:col>20</xdr:col>
      <xdr:colOff>548548</xdr:colOff>
      <xdr:row>3</xdr:row>
      <xdr:rowOff>43683</xdr:rowOff>
    </xdr:from>
    <xdr:to>
      <xdr:col>24</xdr:col>
      <xdr:colOff>155634</xdr:colOff>
      <xdr:row>6</xdr:row>
      <xdr:rowOff>120649</xdr:rowOff>
    </xdr:to>
    <xdr:sp macro="" textlink="Jawaban!E104">
      <xdr:nvSpPr>
        <xdr:cNvPr id="12" name="Rectangle: Rounded Corners 11">
          <a:extLst>
            <a:ext uri="{FF2B5EF4-FFF2-40B4-BE49-F238E27FC236}">
              <a16:creationId xmlns:a16="http://schemas.microsoft.com/office/drawing/2014/main" id="{F99B7B26-38B8-4CBE-AC33-E6C327679D5C}"/>
            </a:ext>
          </a:extLst>
        </xdr:cNvPr>
        <xdr:cNvSpPr/>
      </xdr:nvSpPr>
      <xdr:spPr>
        <a:xfrm>
          <a:off x="13934348" y="615183"/>
          <a:ext cx="2045486" cy="648466"/>
        </a:xfrm>
        <a:prstGeom prst="roundRect">
          <a:avLst/>
        </a:prstGeom>
        <a:solidFill>
          <a:srgbClr val="00FF00"/>
        </a:solidFill>
        <a:ln>
          <a:solidFill>
            <a:schemeClr val="accent5"/>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scene3d>
            <a:camera prst="orthographicFront"/>
            <a:lightRig rig="harsh" dir="t"/>
          </a:scene3d>
          <a:sp3d extrusionH="57150" prstMaterial="matte">
            <a:bevelT w="63500" h="12700" prst="angle"/>
            <a:contourClr>
              <a:schemeClr val="bg1">
                <a:lumMod val="65000"/>
              </a:schemeClr>
            </a:contourClr>
          </a:sp3d>
        </a:bodyPr>
        <a:lstStyle/>
        <a:p>
          <a:pPr algn="ctr"/>
          <a:fld id="{7E92CD7F-F204-4AA3-B1F9-03927AD23F03}" type="TxLink">
            <a:rPr lang="en-US" sz="2000" b="1" i="0" u="none" strike="noStrike" cap="none" spc="0">
              <a:ln/>
              <a:solidFill>
                <a:srgbClr val="000000"/>
              </a:solidFill>
              <a:effectLst/>
              <a:latin typeface="Calibri"/>
              <a:ea typeface="Calibri"/>
              <a:cs typeface="Calibri"/>
            </a:rPr>
            <a:pPr algn="ctr"/>
            <a:t> $6,487,847 </a:t>
          </a:fld>
          <a:endParaRPr lang="en-GB" sz="4400" b="1" cap="none" spc="0">
            <a:ln/>
            <a:solidFill>
              <a:schemeClr val="tx1"/>
            </a:solidFill>
            <a:effectLst/>
          </a:endParaRPr>
        </a:p>
      </xdr:txBody>
    </xdr:sp>
    <xdr:clientData/>
  </xdr:twoCellAnchor>
  <xdr:twoCellAnchor>
    <xdr:from>
      <xdr:col>24</xdr:col>
      <xdr:colOff>168216</xdr:colOff>
      <xdr:row>1</xdr:row>
      <xdr:rowOff>55180</xdr:rowOff>
    </xdr:from>
    <xdr:to>
      <xdr:col>27</xdr:col>
      <xdr:colOff>394459</xdr:colOff>
      <xdr:row>4</xdr:row>
      <xdr:rowOff>132572</xdr:rowOff>
    </xdr:to>
    <xdr:sp macro="" textlink="">
      <xdr:nvSpPr>
        <xdr:cNvPr id="13" name="Rectangle: Rounded Corners 12">
          <a:extLst>
            <a:ext uri="{FF2B5EF4-FFF2-40B4-BE49-F238E27FC236}">
              <a16:creationId xmlns:a16="http://schemas.microsoft.com/office/drawing/2014/main" id="{CDCA5A47-3F07-4B31-AE23-28FA5138A057}"/>
            </a:ext>
          </a:extLst>
        </xdr:cNvPr>
        <xdr:cNvSpPr/>
      </xdr:nvSpPr>
      <xdr:spPr>
        <a:xfrm>
          <a:off x="15992416" y="245680"/>
          <a:ext cx="2055043" cy="648892"/>
        </a:xfrm>
        <a:prstGeom prst="roundRect">
          <a:avLst/>
        </a:prstGeom>
        <a:solidFill>
          <a:schemeClr val="accent4">
            <a:lumMod val="40000"/>
            <a:lumOff val="60000"/>
          </a:schemeClr>
        </a:solidFill>
        <a:ln>
          <a:solidFill>
            <a:schemeClr val="accent5"/>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GB" sz="2000" b="1" cap="none" spc="0">
              <a:ln/>
              <a:solidFill>
                <a:schemeClr val="tx1"/>
              </a:solidFill>
              <a:effectLst/>
            </a:rPr>
            <a:t>Qty</a:t>
          </a:r>
          <a:r>
            <a:rPr lang="en-GB" sz="2000" b="1" cap="none" spc="0" baseline="0">
              <a:ln/>
              <a:solidFill>
                <a:schemeClr val="tx1"/>
              </a:solidFill>
              <a:effectLst/>
            </a:rPr>
            <a:t> Sold</a:t>
          </a:r>
          <a:endParaRPr lang="en-GB" sz="2000" b="1" cap="none" spc="0">
            <a:ln/>
            <a:solidFill>
              <a:schemeClr val="tx1"/>
            </a:solidFill>
            <a:effectLst/>
          </a:endParaRPr>
        </a:p>
      </xdr:txBody>
    </xdr:sp>
    <xdr:clientData/>
  </xdr:twoCellAnchor>
  <xdr:twoCellAnchor>
    <xdr:from>
      <xdr:col>24</xdr:col>
      <xdr:colOff>168770</xdr:colOff>
      <xdr:row>3</xdr:row>
      <xdr:rowOff>48281</xdr:rowOff>
    </xdr:from>
    <xdr:to>
      <xdr:col>27</xdr:col>
      <xdr:colOff>395013</xdr:colOff>
      <xdr:row>6</xdr:row>
      <xdr:rowOff>125247</xdr:rowOff>
    </xdr:to>
    <xdr:sp macro="" textlink="Jawaban!D104">
      <xdr:nvSpPr>
        <xdr:cNvPr id="14" name="Rectangle: Rounded Corners 13">
          <a:extLst>
            <a:ext uri="{FF2B5EF4-FFF2-40B4-BE49-F238E27FC236}">
              <a16:creationId xmlns:a16="http://schemas.microsoft.com/office/drawing/2014/main" id="{D3946B17-F4C0-4D96-A0E5-D0B7377E6628}"/>
            </a:ext>
          </a:extLst>
        </xdr:cNvPr>
        <xdr:cNvSpPr/>
      </xdr:nvSpPr>
      <xdr:spPr>
        <a:xfrm>
          <a:off x="15992970" y="619781"/>
          <a:ext cx="2055043" cy="648466"/>
        </a:xfrm>
        <a:prstGeom prst="roundRect">
          <a:avLst/>
        </a:prstGeom>
        <a:solidFill>
          <a:schemeClr val="accent4">
            <a:lumMod val="40000"/>
            <a:lumOff val="60000"/>
          </a:schemeClr>
        </a:solidFill>
        <a:ln>
          <a:solidFill>
            <a:schemeClr val="accent5"/>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scene3d>
            <a:camera prst="orthographicFront"/>
            <a:lightRig rig="harsh" dir="t"/>
          </a:scene3d>
          <a:sp3d extrusionH="57150" prstMaterial="matte">
            <a:bevelT w="63500" h="12700" prst="angle"/>
            <a:contourClr>
              <a:schemeClr val="bg1">
                <a:lumMod val="65000"/>
              </a:schemeClr>
            </a:contourClr>
          </a:sp3d>
        </a:bodyPr>
        <a:lstStyle/>
        <a:p>
          <a:pPr algn="ctr"/>
          <a:fld id="{238225C2-52E3-4921-97CA-68E75A8D72CB}" type="TxLink">
            <a:rPr lang="en-US" sz="2000" b="1" i="0" u="none" strike="noStrike" cap="none" spc="0">
              <a:ln/>
              <a:solidFill>
                <a:srgbClr val="000000"/>
              </a:solidFill>
              <a:effectLst/>
              <a:latin typeface="Calibri"/>
              <a:ea typeface="Calibri"/>
              <a:cs typeface="Calibri"/>
            </a:rPr>
            <a:pPr algn="ctr"/>
            <a:t>25355</a:t>
          </a:fld>
          <a:endParaRPr lang="en-US" sz="2000" b="1" cap="none" spc="0">
            <a:ln/>
            <a:effectLst/>
          </a:endParaRPr>
        </a:p>
      </xdr:txBody>
    </xdr:sp>
    <xdr:clientData/>
  </xdr:twoCellAnchor>
  <xdr:twoCellAnchor>
    <xdr:from>
      <xdr:col>7</xdr:col>
      <xdr:colOff>212397</xdr:colOff>
      <xdr:row>1</xdr:row>
      <xdr:rowOff>437</xdr:rowOff>
    </xdr:from>
    <xdr:to>
      <xdr:col>20</xdr:col>
      <xdr:colOff>362170</xdr:colOff>
      <xdr:row>6</xdr:row>
      <xdr:rowOff>109920</xdr:rowOff>
    </xdr:to>
    <xdr:sp macro="" textlink="">
      <xdr:nvSpPr>
        <xdr:cNvPr id="9" name="Flowchart: Alternate Process 8">
          <a:extLst>
            <a:ext uri="{FF2B5EF4-FFF2-40B4-BE49-F238E27FC236}">
              <a16:creationId xmlns:a16="http://schemas.microsoft.com/office/drawing/2014/main" id="{67FDE3EF-C198-4E30-B77D-F9EB9B2EDA05}"/>
            </a:ext>
          </a:extLst>
        </xdr:cNvPr>
        <xdr:cNvSpPr/>
      </xdr:nvSpPr>
      <xdr:spPr>
        <a:xfrm>
          <a:off x="5673397" y="190937"/>
          <a:ext cx="8074573" cy="1061983"/>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600" b="1"/>
            <a:t>Sales Performance Analysis</a:t>
          </a:r>
          <a:r>
            <a:rPr lang="en-GB" sz="3600" b="1" baseline="0"/>
            <a:t> 2023-2024</a:t>
          </a:r>
          <a:endParaRPr lang="en-GB" sz="3600" b="1"/>
        </a:p>
      </xdr:txBody>
    </xdr:sp>
    <xdr:clientData/>
  </xdr:twoCellAnchor>
  <xdr:twoCellAnchor>
    <xdr:from>
      <xdr:col>28</xdr:col>
      <xdr:colOff>403296</xdr:colOff>
      <xdr:row>10</xdr:row>
      <xdr:rowOff>103909</xdr:rowOff>
    </xdr:from>
    <xdr:to>
      <xdr:col>35</xdr:col>
      <xdr:colOff>404091</xdr:colOff>
      <xdr:row>32</xdr:row>
      <xdr:rowOff>23090</xdr:rowOff>
    </xdr:to>
    <xdr:graphicFrame macro="">
      <xdr:nvGraphicFramePr>
        <xdr:cNvPr id="15" name="Chart 14">
          <a:extLst>
            <a:ext uri="{FF2B5EF4-FFF2-40B4-BE49-F238E27FC236}">
              <a16:creationId xmlns:a16="http://schemas.microsoft.com/office/drawing/2014/main" id="{ADE17841-2BF9-4F00-8690-3A8A5AFFF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227273</xdr:colOff>
      <xdr:row>33</xdr:row>
      <xdr:rowOff>69701</xdr:rowOff>
    </xdr:from>
    <xdr:to>
      <xdr:col>27</xdr:col>
      <xdr:colOff>577273</xdr:colOff>
      <xdr:row>47</xdr:row>
      <xdr:rowOff>127000</xdr:rowOff>
    </xdr:to>
    <xdr:sp macro="" textlink="">
      <xdr:nvSpPr>
        <xdr:cNvPr id="16" name="Rectangle: Folded Corner 15">
          <a:extLst>
            <a:ext uri="{FF2B5EF4-FFF2-40B4-BE49-F238E27FC236}">
              <a16:creationId xmlns:a16="http://schemas.microsoft.com/office/drawing/2014/main" id="{BC17B4C7-A649-4FB6-AE62-7129889953D0}"/>
            </a:ext>
          </a:extLst>
        </xdr:cNvPr>
        <xdr:cNvSpPr/>
      </xdr:nvSpPr>
      <xdr:spPr>
        <a:xfrm>
          <a:off x="11207000" y="6165701"/>
          <a:ext cx="7081000" cy="2643481"/>
        </a:xfrm>
        <a:prstGeom prst="foldedCorner">
          <a:avLst>
            <a:gd name="adj" fmla="val 27429"/>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0" cap="none" spc="0">
              <a:ln w="0"/>
              <a:solidFill>
                <a:schemeClr val="tx1"/>
              </a:solidFill>
              <a:effectLst>
                <a:outerShdw blurRad="38100" dist="19050" dir="2700000" algn="tl" rotWithShape="0">
                  <a:schemeClr val="dk1">
                    <a:alpha val="40000"/>
                  </a:schemeClr>
                </a:outerShdw>
              </a:effectLst>
            </a:rPr>
            <a:t>Summary Executive:</a:t>
          </a:r>
        </a:p>
        <a:p>
          <a:pPr algn="l"/>
          <a:r>
            <a:rPr lang="en-GB" sz="1600" b="0" cap="none" spc="0">
              <a:ln w="0"/>
              <a:solidFill>
                <a:schemeClr val="tx1"/>
              </a:solidFill>
              <a:effectLst>
                <a:outerShdw blurRad="38100" dist="19050" dir="2700000" algn="tl" rotWithShape="0">
                  <a:schemeClr val="dk1">
                    <a:alpha val="40000"/>
                  </a:schemeClr>
                </a:outerShdw>
              </a:effectLst>
            </a:rPr>
            <a:t>1.</a:t>
          </a:r>
          <a:r>
            <a:rPr lang="en-GB" sz="1600" b="0" cap="none" spc="0" baseline="0">
              <a:ln w="0"/>
              <a:solidFill>
                <a:schemeClr val="tx1"/>
              </a:solidFill>
              <a:effectLst>
                <a:outerShdw blurRad="38100" dist="19050" dir="2700000" algn="tl" rotWithShape="0">
                  <a:schemeClr val="dk1">
                    <a:alpha val="40000"/>
                  </a:schemeClr>
                </a:outerShdw>
              </a:effectLst>
            </a:rPr>
            <a:t> Performa sales di masing-masing sangat merata. Pasar di empat wilayah tersebut sangat prospek dan bisa ditingkatkan proses penjualannya. </a:t>
          </a:r>
        </a:p>
        <a:p>
          <a:pPr algn="l"/>
          <a:r>
            <a:rPr lang="en-GB" sz="1600" b="0" cap="none" spc="0" baseline="0">
              <a:ln w="0"/>
              <a:solidFill>
                <a:schemeClr val="tx1"/>
              </a:solidFill>
              <a:effectLst>
                <a:outerShdw blurRad="38100" dist="19050" dir="2700000" algn="tl" rotWithShape="0">
                  <a:schemeClr val="dk1">
                    <a:alpha val="40000"/>
                  </a:schemeClr>
                </a:outerShdw>
              </a:effectLst>
            </a:rPr>
            <a:t>2. Profit tiap bulannya fluktiatif. Peforma sales wajib dievaluasi karena penjualan mereka naik turun. </a:t>
          </a:r>
        </a:p>
        <a:p>
          <a:pPr algn="l"/>
          <a:r>
            <a:rPr lang="en-GB" sz="1600" b="0" cap="none" spc="0" baseline="0">
              <a:ln w="0"/>
              <a:solidFill>
                <a:schemeClr val="tx1"/>
              </a:solidFill>
              <a:effectLst>
                <a:outerShdw blurRad="38100" dist="19050" dir="2700000" algn="tl" rotWithShape="0">
                  <a:schemeClr val="dk1">
                    <a:alpha val="40000"/>
                  </a:schemeClr>
                </a:outerShdw>
              </a:effectLst>
            </a:rPr>
            <a:t>3. Produk terlaris adalah 1090. Perusahaan wajib memastikan stok produk ini tidak habis di gudang. </a:t>
          </a:r>
          <a:endParaRPr lang="en-GB"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1070092</xdr:colOff>
      <xdr:row>33</xdr:row>
      <xdr:rowOff>105832</xdr:rowOff>
    </xdr:from>
    <xdr:to>
      <xdr:col>15</xdr:col>
      <xdr:colOff>470371</xdr:colOff>
      <xdr:row>48</xdr:row>
      <xdr:rowOff>26810</xdr:rowOff>
    </xdr:to>
    <xdr:graphicFrame macro="">
      <xdr:nvGraphicFramePr>
        <xdr:cNvPr id="17" name="Chart 16">
          <a:extLst>
            <a:ext uri="{FF2B5EF4-FFF2-40B4-BE49-F238E27FC236}">
              <a16:creationId xmlns:a16="http://schemas.microsoft.com/office/drawing/2014/main" id="{D294AFC8-2DEC-4E6A-BB43-DE1373C52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nkPad" refreshedDate="46027.929267013889" createdVersion="7" refreshedVersion="7" minRefreshableVersion="3" recordCount="1000" xr:uid="{22DC53F1-370C-423C-96E5-4807B96CCF69}">
  <cacheSource type="worksheet">
    <worksheetSource name="Table1"/>
  </cacheSource>
  <cacheFields count="17">
    <cacheField name="Product_ID" numFmtId="0">
      <sharedItems containsSemiMixedTypes="0" containsString="0" containsNumber="1" containsInteger="1" minValue="1001" maxValue="1100" count="100">
        <n v="1052"/>
        <n v="1093"/>
        <n v="1015"/>
        <n v="1072"/>
        <n v="1061"/>
        <n v="1021"/>
        <n v="1083"/>
        <n v="1087"/>
        <n v="1075"/>
        <n v="1088"/>
        <n v="1100"/>
        <n v="1024"/>
        <n v="1003"/>
        <n v="1022"/>
        <n v="1053"/>
        <n v="1002"/>
        <n v="1030"/>
        <n v="1038"/>
        <n v="1064"/>
        <n v="1060"/>
        <n v="1033"/>
        <n v="1076"/>
        <n v="1058"/>
        <n v="1089"/>
        <n v="1049"/>
        <n v="1091"/>
        <n v="1059"/>
        <n v="1042"/>
        <n v="1092"/>
        <n v="1080"/>
        <n v="1062"/>
        <n v="1047"/>
        <n v="1051"/>
        <n v="1055"/>
        <n v="1007"/>
        <n v="1073"/>
        <n v="1039"/>
        <n v="1018"/>
        <n v="1004"/>
        <n v="1014"/>
        <n v="1009"/>
        <n v="1090"/>
        <n v="1084"/>
        <n v="1071"/>
        <n v="1044"/>
        <n v="1008"/>
        <n v="1035"/>
        <n v="1078"/>
        <n v="1081"/>
        <n v="1036"/>
        <n v="1050"/>
        <n v="1006"/>
        <n v="1054"/>
        <n v="1063"/>
        <n v="1034"/>
        <n v="1074"/>
        <n v="1095"/>
        <n v="1048"/>
        <n v="1040"/>
        <n v="1085"/>
        <n v="1082"/>
        <n v="1026"/>
        <n v="1041"/>
        <n v="1029"/>
        <n v="1045"/>
        <n v="1065"/>
        <n v="1001"/>
        <n v="1011"/>
        <n v="1005"/>
        <n v="1028"/>
        <n v="1012"/>
        <n v="1023"/>
        <n v="1037"/>
        <n v="1099"/>
        <n v="1086"/>
        <n v="1027"/>
        <n v="1079"/>
        <n v="1077"/>
        <n v="1096"/>
        <n v="1094"/>
        <n v="1043"/>
        <n v="1013"/>
        <n v="1032"/>
        <n v="1066"/>
        <n v="1057"/>
        <n v="1097"/>
        <n v="1070"/>
        <n v="1056"/>
        <n v="1019"/>
        <n v="1068"/>
        <n v="1017"/>
        <n v="1069"/>
        <n v="1098"/>
        <n v="1016"/>
        <n v="1020"/>
        <n v="1067"/>
        <n v="1031"/>
        <n v="1025"/>
        <n v="1046"/>
        <n v="1010"/>
      </sharedItems>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base="1">
        <rangePr groupBy="months" startDate="2023-01-01T00:00:00" endDate="2024-01-02T00:00:00"/>
        <groupItems count="14">
          <s v="&lt;01-01-23"/>
          <s v="Jan"/>
          <s v="Feb"/>
          <s v="Mar"/>
          <s v="Apr"/>
          <s v="May"/>
          <s v="Jun"/>
          <s v="Jul"/>
          <s v="Aug"/>
          <s v="Sep"/>
          <s v="Oct"/>
          <s v="Nov"/>
          <s v="Dec"/>
          <s v="&gt;02-01-24"/>
        </groupItems>
      </fieldGroup>
    </cacheField>
    <cacheField name="Sales_Rep" numFmtId="0">
      <sharedItems count="5">
        <s v="Bob"/>
        <s v="David"/>
        <s v="Charlie"/>
        <s v="Eve"/>
        <s v="Alice"/>
      </sharedItems>
    </cacheField>
    <cacheField name="Region" numFmtId="0">
      <sharedItems count="4">
        <s v="North"/>
        <s v="West"/>
        <s v="South"/>
        <s v="East"/>
      </sharedItems>
    </cacheField>
    <cacheField name="Sales_Amount" numFmtId="164">
      <sharedItems containsSemiMixedTypes="0" containsString="0" containsNumber="1" minValue="100.12" maxValue="9989.0400000000009" count="998">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n v="8579.7199999999993"/>
        <n v="7041.58"/>
        <n v="7297.86"/>
        <n v="5664.52"/>
        <n v="9476.2000000000007"/>
        <n v="5012.96"/>
        <n v="3867.13"/>
        <n v="1714.05"/>
        <n v="7883.44"/>
        <n v="7370.99"/>
        <n v="3905.11"/>
        <n v="349.41"/>
        <n v="8406.07"/>
        <n v="213.04"/>
        <n v="7066.63"/>
        <n v="9705.5499999999993"/>
        <n v="4432.8500000000004"/>
        <n v="2426.2399999999998"/>
        <n v="7078.22"/>
        <n v="8189.57"/>
        <n v="5509.66"/>
        <n v="9673.65"/>
        <n v="611.52"/>
        <n v="5097.4799999999996"/>
        <n v="7212.69"/>
        <n v="8640.14"/>
        <n v="1874.63"/>
        <n v="8020.03"/>
        <n v="5571.8"/>
        <n v="4025.88"/>
        <n v="1403.98"/>
        <n v="8666.43"/>
        <n v="1657"/>
        <n v="3166.9"/>
        <n v="2971.45"/>
        <n v="8727"/>
        <n v="6759.76"/>
        <n v="7987.15"/>
        <n v="2579.63"/>
        <n v="6286.25"/>
        <n v="5760.29"/>
        <n v="8345.02"/>
        <n v="9070.26"/>
        <n v="220.35"/>
        <n v="6772.8"/>
        <n v="613.16999999999996"/>
        <n v="5533.7"/>
        <n v="2947.56"/>
        <n v="3137.09"/>
        <n v="3594.29"/>
        <n v="6250.8"/>
        <n v="3407.09"/>
        <n v="7353.72"/>
        <n v="4104.82"/>
        <n v="776.7"/>
        <n v="7859.22"/>
        <n v="2929.01"/>
        <n v="4384.3900000000003"/>
        <n v="6885.89"/>
        <n v="3391.32"/>
        <n v="660.2"/>
        <n v="3801.82"/>
        <n v="9450.0400000000009"/>
        <n v="6453.17"/>
        <n v="6747.64"/>
        <n v="6359.59"/>
        <n v="2070.02"/>
        <n v="4241.51"/>
        <n v="7534.3"/>
        <n v="1103.5899999999999"/>
        <n v="2850.74"/>
        <n v="2835.56"/>
        <n v="4376.99"/>
        <n v="9805.65"/>
        <n v="768.28"/>
        <n v="5235.1400000000003"/>
        <n v="1875.71"/>
        <n v="9709.7000000000007"/>
        <n v="1221.7"/>
        <n v="4095.65"/>
        <n v="7405.06"/>
        <n v="7075.09"/>
        <n v="4285.01"/>
        <n v="3530.59"/>
        <n v="4036.36"/>
        <n v="2716.34"/>
        <n v="2132.8000000000002"/>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00000000004"/>
        <n v="9580.0499999999993"/>
        <n v="4050.45"/>
        <n v="8414.0400000000009"/>
        <n v="1966.55"/>
        <n v="6757.36"/>
        <n v="9772.3700000000008"/>
        <n v="1108.74"/>
        <n v="182.37"/>
        <n v="4392.47"/>
        <n v="1016.99"/>
        <n v="7509.01"/>
        <n v="9154.0300000000007"/>
        <n v="4396.8100000000004"/>
        <n v="2661.25"/>
        <n v="4400.59"/>
        <n v="7262.13"/>
        <n v="189.64"/>
        <n v="5935.59"/>
        <n v="6171.59"/>
        <n v="6413.11"/>
        <n v="2496.02"/>
        <n v="7169.12"/>
        <n v="1004.78"/>
        <n v="2072.7800000000002"/>
        <n v="8786.9500000000007"/>
        <n v="7413.36"/>
        <n v="236.08"/>
        <n v="2558.92"/>
        <n v="2222.62"/>
        <n v="2780.98"/>
        <n v="2550.84"/>
        <n v="719.01"/>
        <n v="4643.51"/>
        <n v="7354.06"/>
        <n v="6106.64"/>
        <n v="6761.43"/>
        <n v="903.38"/>
        <n v="9519.76"/>
        <n v="8401.07"/>
        <n v="8070.39"/>
        <n v="8247.5400000000009"/>
        <n v="9333.83"/>
        <n v="5488.11"/>
        <n v="2082.79"/>
        <n v="6206.16"/>
        <n v="7454.53"/>
        <n v="7405.38"/>
        <n v="5262.35"/>
        <n v="777.74"/>
        <n v="3774.02"/>
        <n v="9215.59"/>
        <n v="5886.04"/>
        <n v="5429.49"/>
        <n v="2761.65"/>
        <n v="3747.64"/>
        <n v="8963.93"/>
        <n v="6697.98"/>
        <n v="7895.13"/>
        <n v="4598.0200000000004"/>
        <n v="6339.45"/>
        <n v="2559"/>
        <n v="7084.06"/>
        <n v="4333.25"/>
        <n v="4481.2"/>
        <n v="6528.29"/>
        <n v="9369.18"/>
        <n v="733.66"/>
        <n v="8264.9599999999991"/>
        <n v="2994.59"/>
        <n v="4494.8"/>
        <n v="316.94"/>
        <n v="3080.36"/>
        <n v="5076.05"/>
        <n v="656.14"/>
        <n v="4961.8500000000004"/>
        <n v="9278.4"/>
        <n v="1143.3900000000001"/>
        <n v="7667.96"/>
        <n v="4155.74"/>
        <n v="6586.22"/>
        <n v="2676.34"/>
        <n v="1678.97"/>
        <n v="1688.58"/>
        <n v="797.87"/>
        <n v="1937.9"/>
        <n v="6675.77"/>
        <n v="8828.74"/>
        <n v="8159.84"/>
        <n v="6882.83"/>
        <n v="1193.28"/>
        <n v="2962.96"/>
        <n v="3167.09"/>
        <n v="2574.5700000000002"/>
        <n v="5198.5600000000004"/>
        <n v="5401.98"/>
        <n v="3633.17"/>
        <n v="3602.51"/>
        <n v="8302.7000000000007"/>
        <n v="7914"/>
        <n v="3147.18"/>
        <n v="9146.51"/>
        <n v="9532.8700000000008"/>
        <n v="3334.75"/>
        <n v="3608.81"/>
        <n v="5105.78"/>
        <n v="9417.1"/>
        <n v="8775.56"/>
        <n v="1115.42"/>
        <n v="3988.03"/>
        <n v="5578.37"/>
        <n v="5081.01"/>
        <n v="2019.24"/>
        <n v="8602.2900000000009"/>
        <n v="6801.71"/>
        <n v="8395.2900000000009"/>
        <n v="8601.77"/>
        <n v="7508.72"/>
        <n v="4448.18"/>
        <n v="6144.41"/>
        <n v="1687.62"/>
        <n v="6769.09"/>
        <n v="1874.61"/>
        <n v="6970.1"/>
        <n v="2373.02"/>
        <n v="1263.76"/>
        <n v="1736.32"/>
        <n v="119.72"/>
        <n v="7215.52"/>
        <n v="7350.77"/>
        <n v="5197.84"/>
        <n v="1697.49"/>
        <n v="927.19"/>
        <n v="289.38"/>
        <n v="1740.91"/>
        <n v="8919.4699999999993"/>
        <n v="2491.21"/>
        <n v="3607.29"/>
        <n v="1142.92"/>
        <n v="2301.38"/>
        <n v="5240.32"/>
        <n v="2528.9899999999998"/>
        <n v="671.55"/>
        <n v="3971.23"/>
        <n v="2418.61"/>
        <n v="2273.58"/>
        <n v="9602.64"/>
        <n v="6201.37"/>
        <n v="5613.1"/>
        <n v="4216.17"/>
        <n v="4346.55"/>
        <n v="5454.96"/>
        <n v="6994.66"/>
        <n v="7051.25"/>
        <n v="1799.77"/>
        <n v="5051.12"/>
        <n v="4178.3900000000003"/>
        <n v="8718.2199999999993"/>
        <n v="6351.05"/>
        <n v="5371.79"/>
        <n v="1242.4100000000001"/>
        <n v="6095.82"/>
        <n v="1260.32"/>
        <n v="3438.35"/>
        <n v="1514.14"/>
        <n v="6951.53"/>
        <n v="2141.9"/>
        <n v="3979.41"/>
        <n v="8967.18"/>
        <n v="2122.73"/>
        <n v="5127.2700000000004"/>
        <n v="4250.79"/>
        <n v="279.43"/>
        <n v="7948.31"/>
        <n v="783.55"/>
        <n v="4795.12"/>
        <n v="5650.72"/>
        <n v="6321.42"/>
        <n v="6917.45"/>
        <n v="2607.4"/>
        <n v="198.79"/>
        <n v="7262.09"/>
        <n v="5403"/>
        <n v="8377.57"/>
        <n v="8231.74"/>
        <n v="8448.93"/>
        <n v="4902.4399999999996"/>
        <n v="3402.92"/>
        <n v="7936.43"/>
        <n v="4567.8100000000004"/>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499999999993"/>
        <n v="7524.78"/>
        <n v="9091.4599999999991"/>
        <n v="7611.28"/>
        <n v="6011.84"/>
        <n v="6575.91"/>
        <n v="8902.3700000000008"/>
        <n v="5830.19"/>
        <n v="6360.67"/>
        <n v="1649.12"/>
        <n v="4791.82"/>
        <n v="7192.33"/>
        <n v="2782.33"/>
        <n v="2102.3200000000002"/>
        <n v="3206.89"/>
        <n v="2490.86"/>
        <n v="2227.64"/>
        <n v="4306.0200000000004"/>
        <n v="9087.6"/>
        <n v="5119.8900000000003"/>
        <n v="1960.41"/>
        <n v="862.02"/>
        <n v="6991.95"/>
        <n v="3889.71"/>
        <n v="8236.1299999999992"/>
        <n v="6629.16"/>
        <n v="7982.79"/>
        <n v="2792.27"/>
        <n v="6954.35"/>
        <n v="2714.21"/>
        <n v="9396.7800000000007"/>
        <n v="6400.11"/>
        <n v="3312.67"/>
        <n v="2768.17"/>
        <n v="1990.17"/>
        <n v="6976.95"/>
        <n v="2265.2800000000002"/>
        <n v="5993.5"/>
        <n v="2719.89"/>
        <n v="6653.49"/>
        <n v="8167.9"/>
        <n v="7802.45"/>
        <n v="7632.43"/>
        <n v="1958.45"/>
        <n v="975.01"/>
        <n v="7019.59"/>
        <n v="3746.64"/>
        <n v="4380.2299999999996"/>
        <n v="408.38"/>
        <n v="2669.81"/>
        <n v="433.4"/>
        <n v="8803.94"/>
        <n v="2509.63"/>
        <n v="5617.64"/>
        <n v="485.9"/>
        <n v="6701.79"/>
        <n v="3297.97"/>
        <n v="8989.4"/>
        <n v="8892.3700000000008"/>
        <n v="3320.38"/>
        <n v="9019.51"/>
        <n v="9961.9599999999991"/>
        <n v="8271.6200000000008"/>
        <n v="8464.23"/>
        <n v="2565.19"/>
        <n v="5809.35"/>
        <n v="765.83"/>
        <n v="1039.69"/>
        <n v="9989.0400000000009"/>
        <n v="3333.73"/>
        <n v="7507.02"/>
        <n v="8085.98"/>
        <n v="8594.43"/>
        <n v="9976.52"/>
        <n v="2490.8200000000002"/>
        <n v="499.47"/>
        <n v="4170.8"/>
        <n v="1387.8"/>
        <n v="322.02"/>
        <n v="3668.23"/>
        <n v="7859.01"/>
        <n v="5705.19"/>
        <n v="3196.5"/>
        <n v="6577.99"/>
        <n v="2396.98"/>
        <n v="242.38"/>
        <n v="7667.1"/>
        <n v="6275.06"/>
        <n v="7646.8"/>
        <n v="485.49"/>
        <n v="8387.48"/>
        <n v="6233.31"/>
        <n v="5677.61"/>
        <n v="6283.68"/>
        <n v="8657.89"/>
        <n v="5910.67"/>
        <n v="5851.41"/>
        <n v="9907.7199999999993"/>
        <n v="7591.63"/>
        <n v="4478.71"/>
        <n v="7103.23"/>
        <n v="3953.38"/>
        <n v="2365.87"/>
        <n v="6008.83"/>
        <n v="9289"/>
        <n v="9298.48"/>
        <n v="3484.86"/>
        <n v="5324.01"/>
        <n v="2195.1999999999998"/>
        <n v="9956.75"/>
        <n v="9813.07"/>
        <n v="6530.14"/>
        <n v="8063.7"/>
        <n v="7179.49"/>
        <n v="5972.27"/>
        <n v="628.15"/>
        <n v="4602.17"/>
        <n v="6780.38"/>
        <n v="6807.56"/>
        <n v="3793.91"/>
        <n v="9422.75"/>
        <n v="1756.83"/>
        <n v="5053.5600000000004"/>
        <n v="6939.75"/>
        <n v="7001.64"/>
        <n v="6521.53"/>
        <n v="2825.35"/>
        <n v="1646.45"/>
        <n v="6395.81"/>
        <n v="6033.09"/>
        <n v="1875.62"/>
        <n v="7080.88"/>
        <n v="4606.2"/>
        <n v="6710.83"/>
        <n v="8389.93"/>
        <n v="1780.31"/>
        <n v="289.52999999999997"/>
        <n v="7813.12"/>
        <n v="6136"/>
        <n v="7026.43"/>
        <n v="8397.73"/>
        <n v="8047.83"/>
        <n v="9613.11"/>
        <n v="5405.76"/>
        <n v="4936.1099999999997"/>
        <n v="4078.68"/>
        <n v="1621.54"/>
        <n v="5768.81"/>
        <n v="2842.42"/>
        <n v="9220.94"/>
        <n v="5873.59"/>
        <n v="5969.12"/>
        <n v="3613.75"/>
        <n v="614.69000000000005"/>
        <n v="414.26"/>
        <n v="4291.0200000000004"/>
        <n v="937.2"/>
        <n v="6107.78"/>
        <n v="8821.6299999999992"/>
        <n v="8840.86"/>
        <n v="6624.55"/>
        <n v="2191.1999999999998"/>
        <n v="8643.67"/>
        <n v="8872.33"/>
        <n v="2046.87"/>
        <n v="7400.52"/>
        <n v="2936.54"/>
        <n v="8046.14"/>
        <n v="9972.66"/>
        <n v="397.26"/>
        <n v="8983.92"/>
        <n v="6264.04"/>
        <n v="9736.49"/>
        <n v="4703.59"/>
        <n v="8489.14"/>
        <n v="717.7"/>
        <n v="3419.26"/>
        <n v="763.46"/>
        <n v="9755.9"/>
        <n v="8188.04"/>
        <n v="8540.2199999999993"/>
        <n v="9385.86"/>
        <n v="942.52"/>
        <n v="3917.42"/>
        <n v="803.25"/>
        <n v="2186.85"/>
        <n v="2370.7199999999998"/>
        <n v="4744.16"/>
        <n v="2758.77"/>
        <n v="1099.68"/>
        <n v="1758.16"/>
        <n v="1558.03"/>
        <n v="9733.4599999999991"/>
        <n v="7617"/>
        <n v="9680.84"/>
        <n v="4453.43"/>
        <n v="2855.85"/>
        <n v="8003.1"/>
        <n v="3329.91"/>
        <n v="3063.9"/>
        <n v="2401.81"/>
        <n v="1383.82"/>
        <n v="2638.98"/>
        <n v="3617.67"/>
        <n v="6772.54"/>
        <n v="719.39"/>
        <n v="2184.02"/>
        <n v="8109.33"/>
        <n v="1554.53"/>
        <n v="3492.19"/>
        <n v="8660.1200000000008"/>
        <n v="1633.76"/>
        <n v="919.09"/>
        <n v="4896.93"/>
        <n v="3093.95"/>
        <n v="5677.74"/>
        <n v="8057.67"/>
        <n v="1457.77"/>
        <n v="5848.92"/>
        <n v="5104.54"/>
        <n v="1526.38"/>
        <n v="6277.59"/>
        <n v="2809.04"/>
        <n v="4929.5600000000004"/>
        <n v="914.5"/>
        <n v="4649.88"/>
        <n v="3133.99"/>
        <n v="8241.57"/>
        <n v="664.09"/>
        <n v="4244.21"/>
        <n v="4638.47"/>
        <n v="7277.56"/>
        <n v="5785.45"/>
        <n v="6705.4"/>
        <n v="7792.79"/>
        <n v="8635.81"/>
        <n v="3207.37"/>
        <n v="5426.42"/>
        <n v="8417.07"/>
        <n v="9895.57"/>
        <n v="8906.24"/>
        <n v="3777.53"/>
        <n v="2032.15"/>
        <n v="4944.99"/>
        <n v="7442.25"/>
        <n v="4976.43"/>
        <n v="4883.49"/>
        <n v="8398.48"/>
        <n v="3677.9"/>
        <n v="8611.9699999999993"/>
        <n v="4127.37"/>
        <n v="3349.51"/>
        <n v="4594.5"/>
        <n v="7648.22"/>
        <n v="1347.42"/>
        <n v="2044.55"/>
        <n v="9519.2999999999993"/>
        <n v="1837.37"/>
        <n v="5720.5"/>
        <n v="5835.21"/>
        <n v="4947.28"/>
        <n v="6482.98"/>
        <n v="2375.2800000000002"/>
        <n v="5571.36"/>
        <n v="3784.52"/>
        <n v="6650.51"/>
        <n v="1498.11"/>
        <n v="5751.69"/>
        <n v="1934.18"/>
        <n v="2858.57"/>
        <n v="2265.23"/>
        <n v="1910.09"/>
        <n v="8274.5400000000009"/>
        <n v="2928.5"/>
        <n v="9278.5300000000007"/>
        <n v="9702.27"/>
        <n v="5755.48"/>
        <n v="1515.71"/>
        <n v="3808.03"/>
        <n v="7997.55"/>
        <n v="3737.17"/>
        <n v="961.47"/>
        <n v="5612.17"/>
        <n v="8466.7000000000007"/>
        <n v="7979.67"/>
        <n v="1833.72"/>
        <n v="6760.37"/>
        <n v="2282.9899999999998"/>
        <n v="2260.25"/>
        <n v="8753.31"/>
        <n v="2571.7199999999998"/>
        <n v="2706.15"/>
        <n v="106.47"/>
        <n v="8719.6200000000008"/>
        <n v="6310.56"/>
        <n v="7527.63"/>
        <n v="1605.28"/>
        <n v="4637.3999999999996"/>
        <n v="3577.07"/>
        <n v="1028.3900000000001"/>
        <n v="4912.6899999999996"/>
        <n v="9215.32"/>
        <n v="496.59"/>
        <n v="2985.46"/>
        <n v="2154.66"/>
        <n v="2457.65"/>
        <n v="9093.5"/>
        <n v="4733.88"/>
        <n v="4716.3599999999997"/>
        <n v="7629.7"/>
        <n v="1629.47"/>
        <n v="4923.93"/>
      </sharedItems>
    </cacheField>
    <cacheField name="Quantity_Sold" numFmtId="0">
      <sharedItems containsSemiMixedTypes="0" containsString="0" containsNumber="1" containsInteger="1" minValue="1" maxValue="49" count="49">
        <n v="18"/>
        <n v="17"/>
        <n v="30"/>
        <n v="39"/>
        <n v="13"/>
        <n v="32"/>
        <n v="29"/>
        <n v="46"/>
        <n v="43"/>
        <n v="21"/>
        <n v="48"/>
        <n v="40"/>
        <n v="19"/>
        <n v="15"/>
        <n v="9"/>
        <n v="10"/>
        <n v="44"/>
        <n v="31"/>
        <n v="23"/>
        <n v="33"/>
        <n v="47"/>
        <n v="1"/>
        <n v="35"/>
        <n v="11"/>
        <n v="34"/>
        <n v="16"/>
        <n v="12"/>
        <n v="45"/>
        <n v="14"/>
        <n v="8"/>
        <n v="27"/>
        <n v="42"/>
        <n v="6"/>
        <n v="22"/>
        <n v="38"/>
        <n v="37"/>
        <n v="41"/>
        <n v="49"/>
        <n v="24"/>
        <n v="2"/>
        <n v="28"/>
        <n v="4"/>
        <n v="26"/>
        <n v="36"/>
        <n v="25"/>
        <n v="3"/>
        <n v="20"/>
        <n v="5"/>
        <n v="7"/>
      </sharedItems>
    </cacheField>
    <cacheField name="Product_Category" numFmtId="0">
      <sharedItems count="4">
        <s v="Furniture"/>
        <s v="Food"/>
        <s v="Clothing"/>
        <s v="Electronics"/>
      </sharedItems>
    </cacheField>
    <cacheField name="Unit_Cost" numFmtId="164">
      <sharedItems containsSemiMixedTypes="0" containsString="0" containsNumber="1" minValue="60.28" maxValue="4995.3"/>
    </cacheField>
    <cacheField name="Unit_Price" numFmtId="164">
      <sharedItems containsSemiMixedTypes="0" containsString="0" containsNumber="1" minValue="167.12" maxValue="5442.15"/>
    </cacheField>
    <cacheField name="Customer_Type" numFmtId="0">
      <sharedItems count="2">
        <s v="Returning"/>
        <s v="New"/>
      </sharedItems>
    </cacheField>
    <cacheField name="Discount" numFmtId="9">
      <sharedItems containsSemiMixedTypes="0" containsString="0" containsNumber="1" minValue="0" maxValue="0.3" count="31">
        <n v="0.09"/>
        <n v="0.11"/>
        <n v="0.2"/>
        <n v="0.02"/>
        <n v="0.08"/>
        <n v="0.21"/>
        <n v="0.14000000000000001"/>
        <n v="0.12"/>
        <n v="0.05"/>
        <n v="0.13"/>
        <n v="0.23"/>
        <n v="0"/>
        <n v="0.28999999999999998"/>
        <n v="0.18"/>
        <n v="0.04"/>
        <n v="0.1"/>
        <n v="0.26"/>
        <n v="7.0000000000000007E-2"/>
        <n v="0.06"/>
        <n v="0.24"/>
        <n v="0.22"/>
        <n v="0.03"/>
        <n v="0.17"/>
        <n v="0.3"/>
        <n v="0.28000000000000003"/>
        <n v="0.15"/>
        <n v="0.25"/>
        <n v="0.19"/>
        <n v="0.16"/>
        <n v="0.27"/>
        <n v="0.01"/>
      </sharedItems>
    </cacheField>
    <cacheField name="Payment_Method" numFmtId="0">
      <sharedItems count="3">
        <s v="Cash"/>
        <s v="Bank Transfer"/>
        <s v="Credit Card"/>
      </sharedItems>
    </cacheField>
    <cacheField name="Sales_Channel" numFmtId="0">
      <sharedItems/>
    </cacheField>
    <cacheField name="Region_and_Sales_Rep" numFmtId="0">
      <sharedItems count="20">
        <s v="North-Bob"/>
        <s v="West-Bob"/>
        <s v="South-David"/>
        <s v="South-Bob"/>
        <s v="East-Charlie"/>
        <s v="West-Charlie"/>
        <s v="South-Eve"/>
        <s v="North-Eve"/>
        <s v="West-Eve"/>
        <s v="South-Alice"/>
        <s v="South-Charlie"/>
        <s v="North-David"/>
        <s v="East-Bob"/>
        <s v="West-David"/>
        <s v="East-Eve"/>
        <s v="North-Alice"/>
        <s v="East-David"/>
        <s v="West-Alice"/>
        <s v="East-Alice"/>
        <s v="North-Charlie"/>
      </sharedItems>
    </cacheField>
    <cacheField name="Net_profit" numFmtId="164">
      <sharedItems containsSemiMixedTypes="0" containsString="0" containsNumber="1" minValue="17.360000000000127" maxValue="23441.109999999528" count="999">
        <n v="2060.4600000000005"/>
        <n v="6681.8499999999949"/>
        <n v="3295.1999999999994"/>
        <n v="5371.0800000000099"/>
        <n v="719.42000000000041"/>
        <n v="6583.0400000000009"/>
        <n v="6243.1200000000063"/>
        <n v="12058.439999999995"/>
        <n v="10721.699999999702"/>
        <n v="8171.8200000000043"/>
        <n v="1007.3699999999972"/>
        <n v="1575.0900000000047"/>
        <n v="400.68000000000086"/>
        <n v="2411.0999999999967"/>
        <n v="6980.4000000000015"/>
        <n v="17590.079999999998"/>
        <n v="6721.6299999999901"/>
        <n v="5176.8000000000029"/>
        <n v="3037.9099999999976"/>
        <n v="3701.0999999999967"/>
        <n v="368.64000000000033"/>
        <n v="3094.6000000000004"/>
        <n v="21649.319999999989"/>
        <n v="5790.8000000000056"/>
        <n v="8714.7000000000025"/>
        <n v="7650.5999999999995"/>
        <n v="2396.79"/>
        <n v="2657.6999999999975"/>
        <n v="7376.1799999995537"/>
        <n v="26.860000000000127"/>
        <n v="14129.279999999995"/>
        <n v="15080.800000000003"/>
        <n v="1968.3399999999992"/>
        <n v="6842.16"/>
        <n v="7145.6000000000058"/>
        <n v="3678.0300000000007"/>
        <n v="11530.559999999998"/>
        <n v="1978.6499999999978"/>
        <n v="5472.12"/>
        <n v="2826.7800000000025"/>
        <n v="14270.399999999994"/>
        <n v="337.54000000000178"/>
        <n v="2603.3600000000006"/>
        <n v="1166.4000000000015"/>
        <n v="6219.1799999999976"/>
        <n v="2150.159999999998"/>
        <n v="94.649999999999636"/>
        <n v="13535.109999999979"/>
        <n v="17686.799999999985"/>
        <n v="20157.899999999994"/>
        <n v="1146.75"/>
        <n v="14098.889999999617"/>
        <n v="14427.78999999999"/>
        <n v="5526.0599999999922"/>
        <n v="329.12000000000216"/>
        <n v="11484"/>
        <n v="15145.279999999693"/>
        <n v="9272.4599999999937"/>
        <n v="4689.0899999999992"/>
        <n v="5613.9299999999985"/>
        <n v="4312.7999999999884"/>
        <n v="8688.7099999999882"/>
        <n v="2254.5"/>
        <n v="1788.600000000004"/>
        <n v="16727.980000000003"/>
        <n v="5250.3000000000029"/>
        <n v="22108.950000000019"/>
        <n v="1580.9599999999991"/>
        <n v="3983.559999999994"/>
        <n v="8934.659999999516"/>
        <n v="7899.1500000000015"/>
        <n v="483.5600000000004"/>
        <n v="7039.9199999999983"/>
        <n v="14839.159999999985"/>
        <n v="7813.6799999999985"/>
        <n v="48.579999999999927"/>
        <n v="11008.400000000001"/>
        <n v="682.48000000000138"/>
        <n v="13788.839999999998"/>
        <n v="1044.6800000000017"/>
        <n v="7764.75"/>
        <n v="2124.12"/>
        <n v="4913.7799999999979"/>
        <n v="8600.9200000000055"/>
        <n v="2072.8399999999929"/>
        <n v="305.17999999999984"/>
        <n v="16560.019999999997"/>
        <n v="16767.660000000003"/>
        <n v="41.479999999961365"/>
        <n v="6624.8600000000024"/>
        <n v="9423.9600000000009"/>
        <n v="15346.309999999992"/>
        <n v="2150.8599999999992"/>
        <n v="4200.8399999999938"/>
        <n v="1724.7100000000009"/>
        <n v="13361.599999999999"/>
        <n v="4028.4899999999966"/>
        <n v="10190.549999999997"/>
        <n v="16851.600000000013"/>
        <n v="14819.819999999992"/>
        <n v="8556.6499999999978"/>
        <n v="8179.149999999986"/>
        <n v="3828.1200000000013"/>
        <n v="18626.8"/>
        <n v="6573.5599999999995"/>
        <n v="99"/>
        <n v="6643.1400000000031"/>
        <n v="628.0200000000018"/>
        <n v="11494.55999999999"/>
        <n v="17121.199999999997"/>
        <n v="15425.849999999999"/>
        <n v="5603.7599999998856"/>
        <n v="570.88000000000102"/>
        <n v="4733.0400000000009"/>
        <n v="381.27999999999884"/>
        <n v="1716.12"/>
        <n v="7060.0199999999986"/>
        <n v="14047"/>
        <n v="9728.1"/>
        <n v="1985.579999999999"/>
        <n v="7527.5199999999932"/>
        <n v="7703.68"/>
        <n v="5791.2"/>
        <n v="4706.4199999999983"/>
        <n v="5880.48"/>
        <n v="6813.6600000000008"/>
        <n v="557.55000000001473"/>
        <n v="5305.2499999999991"/>
        <n v="2013.4799999999932"/>
        <n v="778.46999999999935"/>
        <n v="530.15999999999804"/>
        <n v="8793.9600000000046"/>
        <n v="1063.2600000000029"/>
        <n v="7054.3200000000015"/>
        <n v="9960.7999999999993"/>
        <n v="16090.399999999991"/>
        <n v="4243.5999999999985"/>
        <n v="6104.3199999998142"/>
        <n v="91.079999999970369"/>
        <n v="2671.9199999999983"/>
        <n v="2316.400000000001"/>
        <n v="568.19999999999891"/>
        <n v="1641.0599999999931"/>
        <n v="5666.8799999999974"/>
        <n v="7679.77"/>
        <n v="2126.1000000000004"/>
        <n v="17465.350000000006"/>
        <n v="5165.88"/>
        <n v="8605.4899999999943"/>
        <n v="21574.519999999997"/>
        <n v="8542.56"/>
        <n v="17558.73"/>
        <n v="864.96000000000186"/>
        <n v="1600.5700000000033"/>
        <n v="9926.510000000002"/>
        <n v="9010.4"/>
        <n v="3787.5600000000013"/>
        <n v="1740.4100000000017"/>
        <n v="266.88000000000011"/>
        <n v="9743.9499999999989"/>
        <n v="3756.4800000000105"/>
        <n v="12715.679999999993"/>
        <n v="28.189999999999998"/>
        <n v="1238.2499999999993"/>
        <n v="678.89999999999986"/>
        <n v="10430.999999999709"/>
        <n v="531.96000000000049"/>
        <n v="2428.6500000000019"/>
        <n v="10217.999999999995"/>
        <n v="2327.5999999998021"/>
        <n v="13503.910000000007"/>
        <n v="10657.240000000002"/>
        <n v="1731.4499999999962"/>
        <n v="15543.989999999676"/>
        <n v="3785.5599999999959"/>
        <n v="4320.7500000000027"/>
        <n v="8957.5800000000017"/>
        <n v="7242.2999999999993"/>
        <n v="6625.8400000000011"/>
        <n v="5145.7499999999982"/>
        <n v="10323.599999999999"/>
        <n v="6548.8800000000028"/>
        <n v="1281.4500000000003"/>
        <n v="817.85999999999967"/>
        <n v="17329.830000000002"/>
        <n v="732.71999999999844"/>
        <n v="1644.4799999999886"/>
        <n v="13362.360000000002"/>
        <n v="8338.7400000000034"/>
        <n v="10973.990000000002"/>
        <n v="1810.2399999999607"/>
        <n v="9712.440000000006"/>
        <n v="7396.0199999999977"/>
        <n v="7076.7899999997953"/>
        <n v="2003.119999999722"/>
        <n v="13479.2"/>
        <n v="2485.7799999999952"/>
        <n v="6739.5999999999913"/>
        <n v="9462.6600000000017"/>
        <n v="818.69999999999993"/>
        <n v="17254.799999999996"/>
        <n v="1143.8999999999987"/>
        <n v="7695.2499999997544"/>
        <n v="2501.9400000000196"/>
        <n v="2600.8000000000002"/>
        <n v="4220.0400000000009"/>
        <n v="1483.0999999999995"/>
        <n v="6320.2499999999918"/>
        <n v="938.31999999965137"/>
        <n v="3083.850000000009"/>
        <n v="11967.340000000011"/>
        <n v="13568.23"/>
        <n v="555.99999999999966"/>
        <n v="3331.4400000000005"/>
        <n v="20858.879999999997"/>
        <n v="530.46"/>
        <n v="337.9399999999905"/>
        <n v="16374.400000000005"/>
        <n v="4131.8999999999869"/>
        <n v="1710.2800000000002"/>
        <n v="288.67999999999847"/>
        <n v="21204.479999999992"/>
        <n v="5515.1999999999989"/>
        <n v="15000.959999999995"/>
        <n v="1267.5000000000014"/>
        <n v="2980.6400000000026"/>
        <n v="479.44000000000233"/>
        <n v="498.39999999999873"/>
        <n v="9357.8999999999942"/>
        <n v="4327.2899999999991"/>
        <n v="17643.989999999994"/>
        <n v="10893.710000000001"/>
        <n v="1204.3500000000004"/>
        <n v="6783.979999999985"/>
        <n v="5672.2199999999975"/>
        <n v="11902.139999999705"/>
        <n v="10077.499999999998"/>
        <n v="2384.3999999999992"/>
        <n v="214.76"/>
        <n v="699.8199999999988"/>
        <n v="6067.2000000000025"/>
        <n v="8551.8099999996339"/>
        <n v="3164.0400000000077"/>
        <n v="232.1"/>
        <n v="428.05999999999995"/>
        <n v="12383.699999999997"/>
        <n v="2044.5600000000027"/>
        <n v="2182.3199999999802"/>
        <n v="3637.950000000003"/>
        <n v="3181.2100000000019"/>
        <n v="4087.1599999999994"/>
        <n v="10234.920000000006"/>
        <n v="10372.250000000005"/>
        <n v="18020.7"/>
        <n v="2833.1199999999953"/>
        <n v="3237.4399999999987"/>
        <n v="8268.2400000000034"/>
        <n v="631.71999999999946"/>
        <n v="4786.3499999999995"/>
        <n v="7749.8199999999924"/>
        <n v="6082.9599999999982"/>
        <n v="6218.09"/>
        <n v="17468.980000000003"/>
        <n v="7736.5300000000025"/>
        <n v="14699.519999999553"/>
        <n v="3760.3999999999987"/>
        <n v="12741.749999999574"/>
        <n v="2936.2799999999997"/>
        <n v="13609.749999999998"/>
        <n v="2855.2199999999866"/>
        <n v="5480.0199999999995"/>
        <n v="4397.3199999995377"/>
        <n v="1833.5999999999221"/>
        <n v="1696.9499999999982"/>
        <n v="9393.3000000000029"/>
        <n v="5718.4399999999987"/>
        <n v="7461.7200000000103"/>
        <n v="1555.8900000000017"/>
        <n v="5469.0999999996575"/>
        <n v="2036.7600000000002"/>
        <n v="855.45000000000073"/>
        <n v="3217.9399999999896"/>
        <n v="4918.13"/>
        <n v="5836.94"/>
        <n v="3630.2500000000009"/>
        <n v="12518.800000000001"/>
        <n v="1236.0399999999991"/>
        <n v="15762.860000000004"/>
        <n v="631.99999999999818"/>
        <n v="6493.5"/>
        <n v="3003.5999999999967"/>
        <n v="2184.9599999999991"/>
        <n v="2839.1999999999989"/>
        <n v="8268.659999999998"/>
        <n v="1183.5200000000004"/>
        <n v="4023.5599999999972"/>
        <n v="5753.58"/>
        <n v="4827.6199999999953"/>
        <n v="1299.3499999999976"/>
        <n v="2885.75"/>
        <n v="9686.5999999999949"/>
        <n v="1538.9999999998554"/>
        <n v="2813.5199999999986"/>
        <n v="6066.8700000000063"/>
        <n v="12427.269999999993"/>
        <n v="5492.9599999999964"/>
        <n v="2469.2500000000064"/>
        <n v="1200.3699999998398"/>
        <n v="10353.350000000013"/>
        <n v="7030.5700000000033"/>
        <n v="3351.0000000000036"/>
        <n v="971.28000000000065"/>
        <n v="2531.9000000000051"/>
        <n v="14662.399999999994"/>
        <n v="12088.319999999985"/>
        <n v="10219"/>
        <n v="1145.600000000004"/>
        <n v="8808.7199999999993"/>
        <n v="4568.75"/>
        <n v="763.13999999999351"/>
        <n v="2749.4200000000023"/>
        <n v="197.86"/>
        <n v="14707.350000000002"/>
        <n v="13887.679999999993"/>
        <n v="10994.039999999644"/>
        <n v="4764.3700000000008"/>
        <n v="398.58000000000038"/>
        <n v="4174.5200000000004"/>
        <n v="12461.969999999998"/>
        <n v="5200.8000000000011"/>
        <n v="6619.2000000000025"/>
        <n v="4960.8500000000085"/>
        <n v="654.39999999999964"/>
        <n v="12562.800000000007"/>
        <n v="5164.6399999999994"/>
        <n v="9875.5999999997275"/>
        <n v="1038.24"/>
        <n v="1704.9599999999991"/>
        <n v="12199.500000000016"/>
        <n v="6264.7000000000007"/>
        <n v="13740.72"/>
        <n v="11929.279999999999"/>
        <n v="3051.8999999999869"/>
        <n v="761.40000000000009"/>
        <n v="1756.7700000000023"/>
        <n v="70.380000000000109"/>
        <n v="1662.239999999998"/>
        <n v="11924.399999999998"/>
        <n v="1435.3500000000008"/>
        <n v="14602.800000000016"/>
        <n v="2943.7600000000011"/>
        <n v="3286.3499999999967"/>
        <n v="10047.179999999997"/>
        <n v="15443.549999999992"/>
        <n v="218.81999999998061"/>
        <n v="3002.880000000001"/>
        <n v="3484.9499999999994"/>
        <n v="14791.480000000003"/>
        <n v="9820.5899999999983"/>
        <n v="19419.119999999988"/>
        <n v="284.32000000000698"/>
        <n v="12868.09999999966"/>
        <n v="13364.7"/>
        <n v="402.199999999998"/>
        <n v="8760.1399999996447"/>
        <n v="1437.9500000000007"/>
        <n v="9520.119999999999"/>
        <n v="6173.3099999996439"/>
        <n v="8003.2600000000111"/>
        <n v="6315.8400000000047"/>
        <n v="8595"/>
        <n v="2027.91"/>
        <n v="2219.6000000000004"/>
        <n v="447.29999999999563"/>
        <n v="2654.2799999999997"/>
        <n v="13345.519999999995"/>
        <n v="7590.4400000000096"/>
        <n v="1457.1999999999989"/>
        <n v="7505.2000000000053"/>
        <n v="5854.8799999999992"/>
        <n v="383.82000000000153"/>
        <n v="6427.5200000000041"/>
        <n v="5381.0399999999954"/>
        <n v="318.42000000000098"/>
        <n v="2796.7499999999973"/>
        <n v="2160.3999999999996"/>
        <n v="4347.1999999999971"/>
        <n v="497.96999999999935"/>
        <n v="2200.0200000000013"/>
        <n v="1075.1999999999998"/>
        <n v="9998.5999999999876"/>
        <n v="66.419999999998254"/>
        <n v="15501.599999999953"/>
        <n v="237.62999999999943"/>
        <n v="19366.620000000006"/>
        <n v="614.6800000000012"/>
        <n v="20553.14"/>
        <n v="5258.9499999999989"/>
        <n v="339.83999999999651"/>
        <n v="1792.239999999998"/>
        <n v="1062.56"/>
        <n v="2358.0700000000006"/>
        <n v="15824.770000000011"/>
        <n v="8817.3299999998126"/>
        <n v="1235.0499999999988"/>
        <n v="5267.8399999999965"/>
        <n v="8724.7599999999984"/>
        <n v="2064.4199999999983"/>
        <n v="15592.149999999658"/>
        <n v="7685.2599999999984"/>
        <n v="129.32999999999993"/>
        <n v="9330.1999999999953"/>
        <n v="1350.1399999999976"/>
        <n v="6781.9199999999546"/>
        <n v="2913.899999999891"/>
        <n v="3733.7299999999977"/>
        <n v="735"/>
        <n v="1177.44"/>
        <n v="1684.7100000000005"/>
        <n v="2509.7999999999984"/>
        <n v="9351.5699999999924"/>
        <n v="2741.9000000000005"/>
        <n v="1093.6200000000108"/>
        <n v="1736.2800000000007"/>
        <n v="23441.109999999528"/>
        <n v="1824.5"/>
        <n v="1655.28"/>
        <n v="5900.8799999999992"/>
        <n v="2517.0999999999958"/>
        <n v="226.85999999999996"/>
        <n v="12011.789999999997"/>
        <n v="990.25000000000091"/>
        <n v="22857.039999999997"/>
        <n v="2023.7699999997858"/>
        <n v="5506.1999999999989"/>
        <n v="5388.7499999999927"/>
        <n v="5640.3200000000015"/>
        <n v="11432.839999999993"/>
        <n v="5201.9999999995562"/>
        <n v="5679.8399999995381"/>
        <n v="17263.570000000018"/>
        <n v="6378.4999999999964"/>
        <n v="2134.3000000000006"/>
        <n v="1300.7399999998643"/>
        <n v="4279.3799999995936"/>
        <n v="697.82000000000335"/>
        <n v="1644.0000000000055"/>
        <n v="11596.849999999997"/>
        <n v="11175.5"/>
        <n v="2109.9400000000005"/>
        <n v="5970.9999999999964"/>
        <n v="3199.1999999999825"/>
        <n v="6814.6200000000099"/>
        <n v="282.39999999990232"/>
        <n v="16086.699999999997"/>
        <n v="3738.02"/>
        <n v="5450.1700000000028"/>
        <n v="9294.1799999999985"/>
        <n v="5077.17"/>
        <n v="5822.2999999999993"/>
        <n v="4652.0999999999995"/>
        <n v="1654.7999999999975"/>
        <n v="7692.16"/>
        <n v="69.840000000000146"/>
        <n v="5197.6799999999985"/>
        <n v="7436.5200000000168"/>
        <n v="8113.6800000000039"/>
        <n v="5181.3299999999972"/>
        <n v="5419.5199999999986"/>
        <n v="16442.930000000008"/>
        <n v="4173.2999999999984"/>
        <n v="14679.349999999995"/>
        <n v="12510.940000000002"/>
        <n v="6236.6399999999994"/>
        <n v="1888.5"/>
        <n v="13522.520000000008"/>
        <n v="18328.319999999992"/>
        <n v="12933.929999999955"/>
        <n v="18982.829999999994"/>
        <n v="12448.799999999996"/>
        <n v="1705.200000000001"/>
        <n v="2377.5600000000013"/>
        <n v="2961.1399999999994"/>
        <n v="317.5600000000004"/>
        <n v="2348.5799999999922"/>
        <n v="544.76000000000022"/>
        <n v="1344.7200000000007"/>
        <n v="4277.8799999999892"/>
        <n v="10120.949999999997"/>
        <n v="7238.5499999999956"/>
        <n v="2894.08"/>
        <n v="3474.7299999999932"/>
        <n v="16552.929999999997"/>
        <n v="7082.1600000000017"/>
        <n v="13572.399999999998"/>
        <n v="4248.7199999999939"/>
        <n v="2497.9500000000012"/>
        <n v="803.24000000000274"/>
        <n v="6027.6900000000023"/>
        <n v="350.70999999999992"/>
        <n v="11494.079999999991"/>
        <n v="1893.5700000000015"/>
        <n v="2297.1999999999243"/>
        <n v="1284.6000000000004"/>
        <n v="432.11999999974296"/>
        <n v="3004.7999999999956"/>
        <n v="10963.079999999991"/>
        <n v="11922.960000000005"/>
        <n v="12917.469999999717"/>
        <n v="11613.230000000007"/>
        <n v="4403.16"/>
        <n v="6107.2200000000148"/>
        <n v="5330.0999999999694"/>
        <n v="2421.6699999999992"/>
        <n v="4565.5999999999913"/>
        <n v="2297.9599999999982"/>
        <n v="513.39999999999691"/>
        <n v="2419.5499999999993"/>
        <n v="16056.000000000007"/>
        <n v="6896.7999999999865"/>
        <n v="1380.1100000000042"/>
        <n v="656.66999999999962"/>
        <n v="3401.0999999999967"/>
        <n v="12155.399999999994"/>
        <n v="7733.8499999999876"/>
        <n v="15845.619999999992"/>
        <n v="8303.57"/>
        <n v="1642.81"/>
        <n v="20566.14"/>
        <n v="4185.7199999999793"/>
        <n v="5215.5200000000013"/>
        <n v="5846.579999999999"/>
        <n v="1631.25"/>
        <n v="1431.9999999999982"/>
        <n v="5326.7499999997544"/>
        <n v="2301.5999999999995"/>
        <n v="16241.399999999659"/>
        <n v="671.51999999999953"/>
        <n v="1354.3200000000088"/>
        <n v="10857.279999999999"/>
        <n v="5141.760000000002"/>
        <n v="7286.7600000000029"/>
        <n v="2071.8499999999995"/>
        <n v="15675.120000000003"/>
        <n v="6387.5999999999694"/>
        <n v="15837.749999999562"/>
        <n v="2687.3599999999924"/>
        <n v="11492.409999999991"/>
        <n v="3260.9400000000028"/>
        <n v="194.48000000000047"/>
        <n v="3565.5600000000031"/>
        <n v="11315.220000000001"/>
        <n v="8241.1200000000026"/>
        <n v="5044.1599999999798"/>
        <n v="22464.120000000003"/>
        <n v="16582.32"/>
        <n v="1462.41"/>
        <n v="4385.1599999999844"/>
        <n v="8089.4399999999987"/>
        <n v="17250.100000000002"/>
        <n v="1652.28"/>
        <n v="14965.740000000003"/>
        <n v="2038.35"/>
        <n v="8047.7999999998065"/>
        <n v="2877.66"/>
        <n v="8215.039999999979"/>
        <n v="157.80000000000109"/>
        <n v="8258.5800000000017"/>
        <n v="1557.8499999999985"/>
        <n v="2088.3999999999996"/>
        <n v="7063.9900000000025"/>
        <n v="3761.559999999999"/>
        <n v="9902.3099999999959"/>
        <n v="7961.1399999997875"/>
        <n v="1179.6400000000012"/>
        <n v="13757.890000000003"/>
        <n v="1597.6399999999976"/>
        <n v="2110.0400000000018"/>
        <n v="1236.2999999999988"/>
        <n v="14623.559999999994"/>
        <n v="2937.0599999999113"/>
        <n v="18778.620000000006"/>
        <n v="11442.409999999996"/>
        <n v="1813.630000000001"/>
        <n v="1984"/>
        <n v="2667.4100000000008"/>
        <n v="17566.919999999591"/>
        <n v="6573.8999999999896"/>
        <n v="10164.280000000002"/>
        <n v="12822.599999999655"/>
        <n v="6731.3399999999992"/>
        <n v="2444.3499999999831"/>
        <n v="4313.9500000000035"/>
        <n v="8838.0999999999967"/>
        <n v="13632.96"/>
        <n v="454.7800000000002"/>
        <n v="4601.9000000000005"/>
        <n v="451.5600000000004"/>
        <n v="557.79999999999995"/>
        <n v="9604.3199999999961"/>
        <n v="5026.8999999998341"/>
        <n v="15376.320000000007"/>
        <n v="5336.9599999999991"/>
        <n v="4258.0800000000017"/>
        <n v="991.75999999999749"/>
        <n v="8296.4699999996283"/>
        <n v="4855.53"/>
        <n v="16192.509999999997"/>
        <n v="2689.4399999999987"/>
        <n v="110.56000000000006"/>
        <n v="1131.4599999998914"/>
        <n v="1502.549999999999"/>
        <n v="649.56000000000131"/>
        <n v="3108.7000000000003"/>
        <n v="10132.460000000001"/>
        <n v="17402.690000000002"/>
        <n v="4808.3999999999978"/>
        <n v="4402.3100000000068"/>
        <n v="7562.4500000000007"/>
        <n v="2550.2399999999916"/>
        <n v="1922.9099999999994"/>
        <n v="8330.2799999999934"/>
        <n v="1933.4400000000023"/>
        <n v="367.75999999999976"/>
        <n v="9388.25"/>
        <n v="11042.079999999991"/>
        <n v="10563.84"/>
        <n v="690.41000000000076"/>
        <n v="740.06"/>
        <n v="5609.1000000000076"/>
        <n v="6012"/>
        <n v="188.03999999999905"/>
        <n v="13761"/>
        <n v="6389.1299999999992"/>
        <n v="5084.2999999999993"/>
        <n v="5254.3700000000008"/>
        <n v="17533.599999999988"/>
        <n v="15346.269999999995"/>
        <n v="3956.5900000000006"/>
        <n v="6015.6000000000131"/>
        <n v="995.52000000000044"/>
        <n v="1285.44"/>
        <n v="241.68"/>
        <n v="20989.079999999991"/>
        <n v="8503.9200000000019"/>
        <n v="10837.820000000003"/>
        <n v="302.39999999999964"/>
        <n v="14990.079999999998"/>
        <n v="548.79999999999563"/>
        <n v="112.77999999999975"/>
        <n v="782.99999999999727"/>
        <n v="5091.8000000000029"/>
        <n v="11563.399999999998"/>
        <n v="1137.3599999997296"/>
        <n v="9085"/>
        <n v="3932.4800000000105"/>
        <n v="3457.5"/>
        <n v="20627.460000000006"/>
        <n v="13945.599999999995"/>
        <n v="14611.08"/>
        <n v="6170.059999999874"/>
        <n v="10188.910000000009"/>
        <n v="14873.880000000005"/>
        <n v="20090.620000000003"/>
        <n v="6835.38"/>
        <n v="2209.2799999999988"/>
        <n v="21322.35"/>
        <n v="8049.5799999997871"/>
        <n v="2352.7999999999997"/>
        <n v="9892.1499999999978"/>
        <n v="10807.019999999993"/>
        <n v="11400.460000000017"/>
        <n v="5255.6800000000076"/>
        <n v="12897.899999999998"/>
        <n v="10072.959999999995"/>
        <n v="7140.6399999999849"/>
        <n v="9432.7499999999982"/>
        <n v="733.02000000000021"/>
        <n v="3823.6800000000039"/>
        <n v="7452.0000000000073"/>
        <n v="1879.6499999999951"/>
        <n v="5826.1200000000026"/>
        <n v="1691.819999999756"/>
        <n v="1274.1299999999999"/>
        <n v="2512.7999999999997"/>
        <n v="13440"/>
        <n v="3066.7999999999938"/>
        <n v="6994.0800000000017"/>
        <n v="844.80000000000018"/>
        <n v="13881.269999999622"/>
        <n v="253.4399999999996"/>
        <n v="200.45000000000002"/>
        <n v="8186.7600000000029"/>
        <n v="10721.759999999995"/>
        <n v="5711.8500000000049"/>
        <n v="162.31999999999994"/>
        <n v="8274.2099999999955"/>
        <n v="6745.8999999999987"/>
        <n v="615.54"/>
        <n v="14263.939999999999"/>
        <n v="6332.0999999999985"/>
        <n v="331.43999999999869"/>
        <n v="12306.939999999995"/>
        <n v="4214.5599999999995"/>
        <n v="5684.1999999999916"/>
        <n v="5728.32"/>
        <n v="4342.7999999999956"/>
        <n v="9709.3499999997985"/>
        <n v="1112.5999999999999"/>
        <n v="20162.259999999998"/>
        <n v="348.87999999999943"/>
        <n v="2017.609999999999"/>
        <n v="7718.2199999999993"/>
        <n v="7655.2800000000007"/>
        <n v="5266.0999999998676"/>
        <n v="3828.7399999999889"/>
        <n v="3278.0400000000009"/>
        <n v="8167.2800000000007"/>
        <n v="1904.2799999999979"/>
        <n v="8680.6800000000039"/>
        <n v="21613.05"/>
        <n v="12287.520000000006"/>
        <n v="10005.599999999999"/>
        <n v="5146.260000000002"/>
        <n v="5926.0800000000008"/>
        <n v="1771.5600000000013"/>
        <n v="4653.4999999997581"/>
        <n v="13779.200000000004"/>
        <n v="4091.3400000000006"/>
        <n v="2996.9999999995662"/>
        <n v="6112.4399999999987"/>
        <n v="2360.1999999998043"/>
        <n v="8341.02"/>
        <n v="16541.399999999991"/>
        <n v="764.52000000000044"/>
        <n v="921.37999999999874"/>
        <n v="11524.479999999996"/>
        <n v="14196.150000000001"/>
        <n v="7769.1199999999953"/>
        <n v="1419.4499999999994"/>
        <n v="699.31999999999971"/>
        <n v="5550.7199999999939"/>
        <n v="19593.600000000006"/>
        <n v="4917.08"/>
        <n v="13231.529999999999"/>
        <n v="3965.8300000000017"/>
        <n v="5241.1799999998648"/>
        <n v="2265.7800000000007"/>
        <n v="1985.6400000000003"/>
        <n v="3952.3199999999997"/>
        <n v="2624.1199999998398"/>
        <n v="6154.6500000000196"/>
        <n v="521.87000000000126"/>
        <n v="2096.5"/>
        <n v="1970.1499999999987"/>
        <n v="495.87999999998829"/>
        <n v="4760.9599999999919"/>
        <n v="6628.3499999999985"/>
        <n v="13239.159999999574"/>
        <n v="5233.4499999999989"/>
        <n v="8513.6500000000033"/>
        <n v="16049.089999999991"/>
        <n v="4535.0800000000072"/>
        <n v="13980.459999999986"/>
        <n v="335.90000000000003"/>
        <n v="14914.799999999992"/>
        <n v="4783.3199999999961"/>
        <n v="8654.4400000000041"/>
        <n v="11175.2"/>
        <n v="3243.1000000000004"/>
        <n v="1395.2999999999997"/>
        <n v="13847.719999999998"/>
        <n v="16092.119999999995"/>
        <n v="12851.050000000007"/>
        <n v="1378.9999999999952"/>
        <n v="3303.9499999998361"/>
        <n v="12979.119999999999"/>
        <n v="4873.309999999814"/>
        <n v="15383.779999999992"/>
        <n v="10514.91"/>
        <n v="14021.119999999999"/>
        <n v="10235.599999999995"/>
        <n v="2917.8499999999976"/>
        <n v="3528.9999999999964"/>
        <n v="12681.200000000006"/>
        <n v="753.09999999995171"/>
        <n v="1191.9599999999964"/>
        <n v="5352.2399999997151"/>
        <n v="581.03999999999814"/>
        <n v="8765.2499999997635"/>
        <n v="9670.760000000002"/>
        <n v="5425.4199999997927"/>
        <n v="402.52000000000044"/>
        <n v="20494.800000000003"/>
        <n v="121.34999999999991"/>
        <n v="10445.21999999999"/>
        <n v="11298.500000000002"/>
        <n v="1829.6800000000003"/>
        <n v="279.84000000000003"/>
        <n v="9455.8000000000029"/>
        <n v="5016.8799999999992"/>
        <n v="6092.01"/>
        <n v="7763.52"/>
        <n v="1502.71"/>
        <n v="16033.290000000005"/>
        <n v="21187.600000000009"/>
        <n v="9435.5999999999913"/>
        <n v="1163.0300000000002"/>
        <n v="1522.7900000000063"/>
        <n v="7973.4200000000019"/>
        <n v="607.68000000000029"/>
        <n v="11888.799999999661"/>
        <n v="5398.1999999999989"/>
        <n v="15399.419999999978"/>
        <n v="897.54000000000019"/>
        <n v="217.11999999999989"/>
        <n v="5096.2099999995435"/>
        <n v="159.78999999999996"/>
        <n v="4539.17"/>
        <n v="658.84000000000015"/>
        <n v="11366.550000000001"/>
        <n v="7718.1999999999971"/>
        <n v="2919.7199999999993"/>
        <n v="1200.4799999999996"/>
        <n v="1300.3600000000042"/>
        <n v="8609.7599999999948"/>
        <n v="12348.93"/>
        <n v="674.01000000000022"/>
        <n v="14375.199999999993"/>
        <n v="1395.8500000000004"/>
        <n v="12571.199999999986"/>
        <n v="20875.800000000003"/>
        <n v="527.51999999999771"/>
        <n v="4672.7999999999884"/>
        <n v="13893.75"/>
        <n v="2707.6"/>
        <n v="1885.2299999999123"/>
        <n v="13340.339999999998"/>
        <n v="484.39999999996053"/>
        <n v="5794.4299999999876"/>
        <n v="13366.5"/>
        <n v="1467.1799999997338"/>
        <n v="11420.55"/>
        <n v="5973.1299999999937"/>
        <n v="4744.349999999873"/>
        <n v="1337.4400000000014"/>
        <n v="9838.399999999996"/>
        <n v="6192.4799999999959"/>
        <n v="5029.9399999999987"/>
        <n v="10108.350000000006"/>
        <n v="4626.1599999999944"/>
        <n v="9467.3100000000031"/>
        <n v="5641.6699999998154"/>
        <n v="2123.0399999999208"/>
        <n v="667.11999999999898"/>
        <n v="1769.4600000000046"/>
        <n v="9552.66"/>
        <n v="13644.48000000001"/>
        <n v="4833.6600000000017"/>
        <n v="9340.2999999999975"/>
        <n v="8606.4500000000044"/>
        <n v="5200.26"/>
        <n v="4474.9600000000046"/>
        <n v="411.21"/>
        <n v="9339.7999999999956"/>
        <n v="3863.2699999999986"/>
        <n v="19124.160000000003"/>
        <n v="5724.4199999999901"/>
        <n v="3920.6399999999921"/>
        <n v="6568.7999999999975"/>
        <n v="942.70999999999992"/>
        <n v="5838.139999999863"/>
        <n v="3189.4500000000007"/>
        <n v="7999.1599999999962"/>
        <n v="11186.700000000006"/>
        <n v="11839.230000000007"/>
        <n v="344.0799999999972"/>
        <n v="5240.2000000000035"/>
        <n v="14930.079999999996"/>
        <n v="16281.949999999999"/>
        <n v="354.35000000000173"/>
        <n v="1579.98"/>
        <n v="12396.53999999999"/>
        <n v="7844.3400000000111"/>
        <n v="7630.2800000000016"/>
        <n v="14450.099999999587"/>
        <n v="3130.9600000000046"/>
        <n v="401.48"/>
        <n v="14122.149999999992"/>
        <n v="8539.2000000000007"/>
        <n v="1191.5200000000004"/>
        <n v="7007.7000000000171"/>
        <n v="1724.239999999998"/>
        <n v="3988.4900000000016"/>
        <n v="7248.1500000000142"/>
        <n v="1235.6799999999998"/>
        <n v="4935.4999999999745"/>
        <n v="1910.6400000000031"/>
        <n v="576.68000000000757"/>
        <n v="452.9600000000006"/>
        <n v="5581.1799999999967"/>
        <n v="2509.6799999999985"/>
        <n v="18366.160000000003"/>
        <n v="14846.620000000008"/>
        <n v="6481.8600000000042"/>
        <n v="3115.679999999993"/>
        <n v="1942.2400000000016"/>
        <n v="2290.9900000000002"/>
        <n v="6353.0000000000027"/>
        <n v="899.79999999996107"/>
        <n v="1286.449999999893"/>
        <n v="2365.4399999999987"/>
        <n v="791.83999999999287"/>
        <n v="598.08000000000038"/>
        <n v="16358.52"/>
        <n v="1423.1800000000012"/>
        <n v="6709.0799999999972"/>
        <n v="12289.340000000009"/>
        <n v="10224.650000000005"/>
        <n v="20049.3"/>
        <n v="8634.4299999999985"/>
        <n v="762.44000000000051"/>
        <n v="12546.540000000008"/>
        <n v="18585.209999999992"/>
        <n v="480.22000000000662"/>
        <n v="6983.749999999759"/>
        <n v="12478.7"/>
        <n v="4603.8899999999994"/>
        <n v="396.3299999999997"/>
        <n v="554.39999999999918"/>
        <n v="2998.0999999999981"/>
        <n v="1203.3000000000006"/>
        <n v="11745.299999999655"/>
        <n v="10719.3"/>
        <n v="2720.48"/>
        <n v="7571.46"/>
        <n v="679.59000000000026"/>
        <n v="1279.8399999998437"/>
        <n v="17686.080000000002"/>
        <n v="11912.7"/>
        <n v="9374.25"/>
        <n v="19269.000000000004"/>
        <n v="5569.65"/>
        <n v="20344.879999999997"/>
        <n v="5565.2500000000036"/>
        <n v="14300.160000000007"/>
        <n v="20994.959999999584"/>
        <n v="17165.34"/>
        <n v="2506.0999999996475"/>
        <n v="6071.5400000000009"/>
        <n v="7444.9999999999991"/>
        <n v="4005.1199999999862"/>
        <n v="3372.7400000000011"/>
        <n v="2112.6599999999944"/>
        <n v="1649"/>
        <n v="8251.7400000000016"/>
        <n v="11659.55"/>
        <n v="1679.3600000000015"/>
        <n v="3031.1000000000004"/>
        <n v="3048.8999999999032"/>
        <n v="291.26999999999771"/>
        <n v="23353.919999999998"/>
        <n v="10509.659999999998"/>
        <n v="7676.0999999999931"/>
        <n v="8740.3800000000047"/>
        <n v="309.25999999999931"/>
        <n v="6138.44"/>
        <n v="5125.4999999999654"/>
        <n v="1042.2400000000002"/>
        <n v="6889.7599999999993"/>
        <n v="137.72000000000025"/>
        <n v="13143.810000000003"/>
        <n v="10538.319999999992"/>
        <n v="347.5600000000004"/>
        <n v="17.360000000000127"/>
        <n v="1142.6100000000001"/>
        <n v="8945.6999999997151"/>
        <n v="699.83999999999378"/>
        <n v="7658.0000000000064"/>
        <n v="2245.1199999999953"/>
        <n v="7282.7999999999984"/>
        <n v="2744.74"/>
        <n v="7416.3600000000079"/>
        <n v="16829.769999999975"/>
        <n v="12722.399999999998"/>
        <n v="13834.239999999998"/>
        <n v="4011"/>
        <n v="3798.7199999999993"/>
        <n v="4848.1999999999898"/>
        <n v="2065.6700000000005"/>
        <n v="995.35999999999694"/>
        <n v="12155.499999999998"/>
        <n v="6453.0999999999876"/>
        <n v="4178.1800000000057"/>
        <n v="1996.4799999999996"/>
        <n v="3776.9599999996353"/>
        <n v="1403.3499999999992"/>
        <n v="2276.0399999999872"/>
        <n v="14116.799999999996"/>
      </sharedItems>
    </cacheField>
    <cacheField name="Quarters" numFmtId="0" databaseField="0">
      <fieldGroup base="1">
        <rangePr groupBy="quarters" startDate="2023-01-01T00:00:00" endDate="2024-01-02T00:00:00"/>
        <groupItems count="6">
          <s v="&lt;01-01-23"/>
          <s v="Qtr1"/>
          <s v="Qtr2"/>
          <s v="Qtr3"/>
          <s v="Qtr4"/>
          <s v="&gt;02-01-24"/>
        </groupItems>
      </fieldGroup>
    </cacheField>
    <cacheField name="Years" numFmtId="0" databaseField="0">
      <fieldGroup base="1">
        <rangePr groupBy="years" startDate="2023-01-01T00:00:00" endDate="2024-01-02T00:00:00"/>
        <groupItems count="4">
          <s v="&lt;01-01-23"/>
          <s v="2023"/>
          <s v="2024"/>
          <s v="&gt;02-01-24"/>
        </groupItems>
      </fieldGroup>
    </cacheField>
  </cacheFields>
  <extLst>
    <ext xmlns:x14="http://schemas.microsoft.com/office/spreadsheetml/2009/9/main" uri="{725AE2AE-9491-48be-B2B4-4EB974FC3084}">
      <x14:pivotCacheDefinition pivotCacheId="1056164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n v="152.75"/>
    <n v="267.22000000000003"/>
    <x v="0"/>
    <x v="0"/>
    <x v="0"/>
    <s v="Online"/>
    <x v="0"/>
    <x v="0"/>
  </r>
  <r>
    <x v="1"/>
    <x v="1"/>
    <x v="0"/>
    <x v="1"/>
    <x v="1"/>
    <x v="1"/>
    <x v="0"/>
    <n v="3816.39"/>
    <n v="4209.4399999999996"/>
    <x v="0"/>
    <x v="1"/>
    <x v="0"/>
    <s v="Retail"/>
    <x v="1"/>
    <x v="1"/>
  </r>
  <r>
    <x v="2"/>
    <x v="2"/>
    <x v="1"/>
    <x v="2"/>
    <x v="2"/>
    <x v="2"/>
    <x v="1"/>
    <n v="261.56"/>
    <n v="371.4"/>
    <x v="0"/>
    <x v="2"/>
    <x v="1"/>
    <s v="Retail"/>
    <x v="2"/>
    <x v="2"/>
  </r>
  <r>
    <x v="3"/>
    <x v="3"/>
    <x v="0"/>
    <x v="2"/>
    <x v="3"/>
    <x v="3"/>
    <x v="2"/>
    <n v="4330.03"/>
    <n v="4467.75"/>
    <x v="1"/>
    <x v="3"/>
    <x v="2"/>
    <s v="Retail"/>
    <x v="3"/>
    <x v="3"/>
  </r>
  <r>
    <x v="4"/>
    <x v="4"/>
    <x v="2"/>
    <x v="3"/>
    <x v="4"/>
    <x v="4"/>
    <x v="3"/>
    <n v="637.37"/>
    <n v="692.71"/>
    <x v="1"/>
    <x v="4"/>
    <x v="2"/>
    <s v="Online"/>
    <x v="4"/>
    <x v="4"/>
  </r>
  <r>
    <x v="5"/>
    <x v="5"/>
    <x v="2"/>
    <x v="1"/>
    <x v="5"/>
    <x v="5"/>
    <x v="1"/>
    <n v="900.79"/>
    <n v="1106.51"/>
    <x v="1"/>
    <x v="5"/>
    <x v="0"/>
    <s v="Online"/>
    <x v="5"/>
    <x v="5"/>
  </r>
  <r>
    <x v="6"/>
    <x v="6"/>
    <x v="0"/>
    <x v="1"/>
    <x v="6"/>
    <x v="6"/>
    <x v="0"/>
    <n v="2408.81"/>
    <n v="2624.09"/>
    <x v="0"/>
    <x v="6"/>
    <x v="0"/>
    <s v="Online"/>
    <x v="1"/>
    <x v="6"/>
  </r>
  <r>
    <x v="7"/>
    <x v="7"/>
    <x v="3"/>
    <x v="2"/>
    <x v="7"/>
    <x v="7"/>
    <x v="0"/>
    <n v="3702.51"/>
    <n v="3964.65"/>
    <x v="1"/>
    <x v="7"/>
    <x v="1"/>
    <s v="Online"/>
    <x v="6"/>
    <x v="7"/>
  </r>
  <r>
    <x v="8"/>
    <x v="8"/>
    <x v="1"/>
    <x v="2"/>
    <x v="8"/>
    <x v="2"/>
    <x v="0"/>
    <n v="738.06"/>
    <n v="1095.44999999999"/>
    <x v="1"/>
    <x v="8"/>
    <x v="1"/>
    <s v="Online"/>
    <x v="2"/>
    <x v="8"/>
  </r>
  <r>
    <x v="8"/>
    <x v="9"/>
    <x v="2"/>
    <x v="1"/>
    <x v="9"/>
    <x v="0"/>
    <x v="2"/>
    <n v="2228.35"/>
    <n v="2682.34"/>
    <x v="1"/>
    <x v="9"/>
    <x v="1"/>
    <s v="Online"/>
    <x v="5"/>
    <x v="9"/>
  </r>
  <r>
    <x v="9"/>
    <x v="10"/>
    <x v="3"/>
    <x v="0"/>
    <x v="10"/>
    <x v="4"/>
    <x v="0"/>
    <n v="2440.11"/>
    <n v="2517.6"/>
    <x v="1"/>
    <x v="10"/>
    <x v="1"/>
    <s v="Retail"/>
    <x v="7"/>
    <x v="10"/>
  </r>
  <r>
    <x v="10"/>
    <x v="11"/>
    <x v="0"/>
    <x v="1"/>
    <x v="11"/>
    <x v="8"/>
    <x v="1"/>
    <n v="1100.81"/>
    <n v="1137.44"/>
    <x v="0"/>
    <x v="4"/>
    <x v="1"/>
    <s v="Online"/>
    <x v="1"/>
    <x v="11"/>
  </r>
  <r>
    <x v="11"/>
    <x v="12"/>
    <x v="3"/>
    <x v="1"/>
    <x v="12"/>
    <x v="9"/>
    <x v="1"/>
    <n v="622.01"/>
    <n v="641.09"/>
    <x v="0"/>
    <x v="11"/>
    <x v="1"/>
    <s v="Retail"/>
    <x v="8"/>
    <x v="12"/>
  </r>
  <r>
    <x v="12"/>
    <x v="13"/>
    <x v="4"/>
    <x v="2"/>
    <x v="13"/>
    <x v="2"/>
    <x v="0"/>
    <n v="4190.28"/>
    <n v="4270.6499999999996"/>
    <x v="1"/>
    <x v="2"/>
    <x v="0"/>
    <s v="Online"/>
    <x v="9"/>
    <x v="13"/>
  </r>
  <r>
    <x v="13"/>
    <x v="14"/>
    <x v="2"/>
    <x v="2"/>
    <x v="14"/>
    <x v="9"/>
    <x v="1"/>
    <n v="2537.1999999999998"/>
    <n v="2869.6"/>
    <x v="1"/>
    <x v="12"/>
    <x v="1"/>
    <s v="Retail"/>
    <x v="10"/>
    <x v="14"/>
  </r>
  <r>
    <x v="14"/>
    <x v="15"/>
    <x v="0"/>
    <x v="0"/>
    <x v="15"/>
    <x v="10"/>
    <x v="0"/>
    <n v="121.19"/>
    <n v="487.65"/>
    <x v="1"/>
    <x v="13"/>
    <x v="0"/>
    <s v="Retail"/>
    <x v="0"/>
    <x v="15"/>
  </r>
  <r>
    <x v="15"/>
    <x v="16"/>
    <x v="1"/>
    <x v="0"/>
    <x v="16"/>
    <x v="1"/>
    <x v="0"/>
    <n v="4024.76"/>
    <n v="4420.1499999999996"/>
    <x v="0"/>
    <x v="14"/>
    <x v="0"/>
    <s v="Online"/>
    <x v="11"/>
    <x v="16"/>
  </r>
  <r>
    <x v="9"/>
    <x v="17"/>
    <x v="0"/>
    <x v="3"/>
    <x v="17"/>
    <x v="11"/>
    <x v="3"/>
    <n v="4904.93"/>
    <n v="5034.3500000000004"/>
    <x v="1"/>
    <x v="15"/>
    <x v="2"/>
    <s v="Retail"/>
    <x v="12"/>
    <x v="17"/>
  </r>
  <r>
    <x v="16"/>
    <x v="18"/>
    <x v="1"/>
    <x v="1"/>
    <x v="18"/>
    <x v="12"/>
    <x v="2"/>
    <n v="3049.33"/>
    <n v="3209.22"/>
    <x v="0"/>
    <x v="16"/>
    <x v="0"/>
    <s v="Online"/>
    <x v="13"/>
    <x v="18"/>
  </r>
  <r>
    <x v="17"/>
    <x v="19"/>
    <x v="0"/>
    <x v="2"/>
    <x v="19"/>
    <x v="13"/>
    <x v="2"/>
    <n v="2543.36"/>
    <n v="2790.1"/>
    <x v="0"/>
    <x v="17"/>
    <x v="0"/>
    <s v="Online"/>
    <x v="3"/>
    <x v="19"/>
  </r>
  <r>
    <x v="15"/>
    <x v="20"/>
    <x v="3"/>
    <x v="0"/>
    <x v="20"/>
    <x v="14"/>
    <x v="3"/>
    <n v="4398.16"/>
    <n v="4439.12"/>
    <x v="1"/>
    <x v="13"/>
    <x v="1"/>
    <s v="Online"/>
    <x v="7"/>
    <x v="20"/>
  </r>
  <r>
    <x v="18"/>
    <x v="21"/>
    <x v="3"/>
    <x v="3"/>
    <x v="21"/>
    <x v="15"/>
    <x v="3"/>
    <n v="4764.96"/>
    <n v="5074.42"/>
    <x v="1"/>
    <x v="7"/>
    <x v="0"/>
    <s v="Online"/>
    <x v="14"/>
    <x v="21"/>
  </r>
  <r>
    <x v="19"/>
    <x v="22"/>
    <x v="3"/>
    <x v="3"/>
    <x v="22"/>
    <x v="16"/>
    <x v="2"/>
    <n v="3784.96"/>
    <n v="4276.99"/>
    <x v="1"/>
    <x v="18"/>
    <x v="1"/>
    <s v="Retail"/>
    <x v="14"/>
    <x v="22"/>
  </r>
  <r>
    <x v="5"/>
    <x v="23"/>
    <x v="4"/>
    <x v="2"/>
    <x v="23"/>
    <x v="17"/>
    <x v="0"/>
    <n v="2254.9899999999998"/>
    <n v="2441.79"/>
    <x v="0"/>
    <x v="19"/>
    <x v="1"/>
    <s v="Online"/>
    <x v="9"/>
    <x v="23"/>
  </r>
  <r>
    <x v="20"/>
    <x v="24"/>
    <x v="1"/>
    <x v="2"/>
    <x v="24"/>
    <x v="18"/>
    <x v="0"/>
    <n v="2981.5"/>
    <n v="3360.4"/>
    <x v="0"/>
    <x v="20"/>
    <x v="1"/>
    <s v="Retail"/>
    <x v="2"/>
    <x v="24"/>
  </r>
  <r>
    <x v="21"/>
    <x v="22"/>
    <x v="3"/>
    <x v="3"/>
    <x v="25"/>
    <x v="2"/>
    <x v="2"/>
    <n v="3519.63"/>
    <n v="3774.65"/>
    <x v="1"/>
    <x v="2"/>
    <x v="2"/>
    <s v="Retail"/>
    <x v="14"/>
    <x v="25"/>
  </r>
  <r>
    <x v="22"/>
    <x v="25"/>
    <x v="4"/>
    <x v="0"/>
    <x v="26"/>
    <x v="19"/>
    <x v="0"/>
    <n v="1011.65"/>
    <n v="1084.28"/>
    <x v="0"/>
    <x v="17"/>
    <x v="1"/>
    <s v="Retail"/>
    <x v="15"/>
    <x v="26"/>
  </r>
  <r>
    <x v="13"/>
    <x v="26"/>
    <x v="1"/>
    <x v="3"/>
    <x v="27"/>
    <x v="14"/>
    <x v="3"/>
    <n v="2263.65"/>
    <n v="2558.9499999999998"/>
    <x v="1"/>
    <x v="21"/>
    <x v="0"/>
    <s v="Online"/>
    <x v="16"/>
    <x v="27"/>
  </r>
  <r>
    <x v="23"/>
    <x v="27"/>
    <x v="0"/>
    <x v="1"/>
    <x v="28"/>
    <x v="20"/>
    <x v="0"/>
    <n v="4157.62"/>
    <n v="4314.5599999999904"/>
    <x v="1"/>
    <x v="22"/>
    <x v="1"/>
    <s v="Retail"/>
    <x v="1"/>
    <x v="28"/>
  </r>
  <r>
    <x v="24"/>
    <x v="28"/>
    <x v="4"/>
    <x v="1"/>
    <x v="29"/>
    <x v="21"/>
    <x v="0"/>
    <n v="3290.89"/>
    <n v="3317.75"/>
    <x v="0"/>
    <x v="22"/>
    <x v="1"/>
    <s v="Online"/>
    <x v="17"/>
    <x v="29"/>
  </r>
  <r>
    <x v="25"/>
    <x v="29"/>
    <x v="2"/>
    <x v="2"/>
    <x v="30"/>
    <x v="16"/>
    <x v="1"/>
    <n v="2085.46"/>
    <n v="2406.58"/>
    <x v="0"/>
    <x v="18"/>
    <x v="1"/>
    <s v="Retail"/>
    <x v="10"/>
    <x v="30"/>
  </r>
  <r>
    <x v="26"/>
    <x v="30"/>
    <x v="4"/>
    <x v="0"/>
    <x v="31"/>
    <x v="22"/>
    <x v="1"/>
    <n v="3333.64"/>
    <n v="3764.52"/>
    <x v="0"/>
    <x v="3"/>
    <x v="2"/>
    <s v="Online"/>
    <x v="15"/>
    <x v="31"/>
  </r>
  <r>
    <x v="27"/>
    <x v="31"/>
    <x v="4"/>
    <x v="0"/>
    <x v="32"/>
    <x v="23"/>
    <x v="1"/>
    <n v="635.20000000000005"/>
    <n v="814.14"/>
    <x v="0"/>
    <x v="3"/>
    <x v="0"/>
    <s v="Online"/>
    <x v="15"/>
    <x v="32"/>
  </r>
  <r>
    <x v="28"/>
    <x v="32"/>
    <x v="1"/>
    <x v="1"/>
    <x v="33"/>
    <x v="24"/>
    <x v="0"/>
    <n v="2037.41"/>
    <n v="2238.65"/>
    <x v="1"/>
    <x v="23"/>
    <x v="2"/>
    <s v="Online"/>
    <x v="13"/>
    <x v="33"/>
  </r>
  <r>
    <x v="19"/>
    <x v="14"/>
    <x v="0"/>
    <x v="3"/>
    <x v="34"/>
    <x v="25"/>
    <x v="2"/>
    <n v="3975.99"/>
    <n v="4422.59"/>
    <x v="1"/>
    <x v="19"/>
    <x v="0"/>
    <s v="Online"/>
    <x v="12"/>
    <x v="34"/>
  </r>
  <r>
    <x v="29"/>
    <x v="33"/>
    <x v="2"/>
    <x v="2"/>
    <x v="35"/>
    <x v="14"/>
    <x v="3"/>
    <n v="1141.52"/>
    <n v="1550.19"/>
    <x v="1"/>
    <x v="24"/>
    <x v="2"/>
    <s v="Retail"/>
    <x v="10"/>
    <x v="35"/>
  </r>
  <r>
    <x v="2"/>
    <x v="34"/>
    <x v="3"/>
    <x v="3"/>
    <x v="36"/>
    <x v="5"/>
    <x v="0"/>
    <n v="970.51"/>
    <n v="1330.84"/>
    <x v="0"/>
    <x v="18"/>
    <x v="0"/>
    <s v="Retail"/>
    <x v="14"/>
    <x v="36"/>
  </r>
  <r>
    <x v="30"/>
    <x v="7"/>
    <x v="3"/>
    <x v="3"/>
    <x v="37"/>
    <x v="13"/>
    <x v="2"/>
    <n v="4756.55"/>
    <n v="4888.46"/>
    <x v="1"/>
    <x v="12"/>
    <x v="2"/>
    <s v="Online"/>
    <x v="14"/>
    <x v="37"/>
  </r>
  <r>
    <x v="30"/>
    <x v="35"/>
    <x v="4"/>
    <x v="3"/>
    <x v="38"/>
    <x v="26"/>
    <x v="0"/>
    <n v="1088.99"/>
    <n v="1545"/>
    <x v="0"/>
    <x v="14"/>
    <x v="1"/>
    <s v="Retail"/>
    <x v="18"/>
    <x v="38"/>
  </r>
  <r>
    <x v="31"/>
    <x v="36"/>
    <x v="1"/>
    <x v="0"/>
    <x v="39"/>
    <x v="19"/>
    <x v="3"/>
    <n v="1341.55"/>
    <n v="1427.21"/>
    <x v="0"/>
    <x v="25"/>
    <x v="2"/>
    <s v="Online"/>
    <x v="11"/>
    <x v="39"/>
  </r>
  <r>
    <x v="30"/>
    <x v="37"/>
    <x v="1"/>
    <x v="1"/>
    <x v="40"/>
    <x v="27"/>
    <x v="0"/>
    <n v="4849.6000000000004"/>
    <n v="5166.72"/>
    <x v="0"/>
    <x v="26"/>
    <x v="2"/>
    <s v="Online"/>
    <x v="13"/>
    <x v="40"/>
  </r>
  <r>
    <x v="32"/>
    <x v="21"/>
    <x v="3"/>
    <x v="0"/>
    <x v="41"/>
    <x v="28"/>
    <x v="3"/>
    <n v="3686.81"/>
    <n v="3710.92"/>
    <x v="1"/>
    <x v="15"/>
    <x v="1"/>
    <s v="Retail"/>
    <x v="7"/>
    <x v="41"/>
  </r>
  <r>
    <x v="33"/>
    <x v="38"/>
    <x v="2"/>
    <x v="1"/>
    <x v="42"/>
    <x v="29"/>
    <x v="0"/>
    <n v="3513"/>
    <n v="3838.42"/>
    <x v="0"/>
    <x v="9"/>
    <x v="1"/>
    <s v="Online"/>
    <x v="5"/>
    <x v="42"/>
  </r>
  <r>
    <x v="18"/>
    <x v="39"/>
    <x v="0"/>
    <x v="2"/>
    <x v="43"/>
    <x v="29"/>
    <x v="3"/>
    <n v="4271.99"/>
    <n v="4417.79"/>
    <x v="0"/>
    <x v="14"/>
    <x v="0"/>
    <s v="Online"/>
    <x v="3"/>
    <x v="43"/>
  </r>
  <r>
    <x v="12"/>
    <x v="40"/>
    <x v="2"/>
    <x v="2"/>
    <x v="44"/>
    <x v="30"/>
    <x v="0"/>
    <n v="623.32000000000005"/>
    <n v="853.66"/>
    <x v="0"/>
    <x v="14"/>
    <x v="0"/>
    <s v="Online"/>
    <x v="10"/>
    <x v="44"/>
  </r>
  <r>
    <x v="32"/>
    <x v="41"/>
    <x v="0"/>
    <x v="3"/>
    <x v="45"/>
    <x v="26"/>
    <x v="3"/>
    <n v="3544.48"/>
    <n v="3723.66"/>
    <x v="0"/>
    <x v="27"/>
    <x v="0"/>
    <s v="Online"/>
    <x v="12"/>
    <x v="45"/>
  </r>
  <r>
    <x v="34"/>
    <x v="42"/>
    <x v="3"/>
    <x v="1"/>
    <x v="46"/>
    <x v="21"/>
    <x v="1"/>
    <n v="2543.2600000000002"/>
    <n v="2637.91"/>
    <x v="0"/>
    <x v="2"/>
    <x v="2"/>
    <s v="Online"/>
    <x v="8"/>
    <x v="46"/>
  </r>
  <r>
    <x v="5"/>
    <x v="43"/>
    <x v="0"/>
    <x v="1"/>
    <x v="47"/>
    <x v="8"/>
    <x v="0"/>
    <n v="4154.3"/>
    <n v="4469.07"/>
    <x v="0"/>
    <x v="10"/>
    <x v="0"/>
    <s v="Retail"/>
    <x v="1"/>
    <x v="47"/>
  </r>
  <r>
    <x v="35"/>
    <x v="38"/>
    <x v="1"/>
    <x v="1"/>
    <x v="48"/>
    <x v="11"/>
    <x v="0"/>
    <n v="2565.3000000000002"/>
    <n v="3007.47"/>
    <x v="0"/>
    <x v="22"/>
    <x v="2"/>
    <s v="Retail"/>
    <x v="13"/>
    <x v="48"/>
  </r>
  <r>
    <x v="36"/>
    <x v="44"/>
    <x v="4"/>
    <x v="3"/>
    <x v="49"/>
    <x v="31"/>
    <x v="2"/>
    <n v="3120.19"/>
    <n v="3600.14"/>
    <x v="0"/>
    <x v="27"/>
    <x v="2"/>
    <s v="Retail"/>
    <x v="18"/>
    <x v="49"/>
  </r>
  <r>
    <x v="37"/>
    <x v="45"/>
    <x v="4"/>
    <x v="3"/>
    <x v="50"/>
    <x v="23"/>
    <x v="2"/>
    <n v="2414.8200000000002"/>
    <n v="2519.0700000000002"/>
    <x v="0"/>
    <x v="11"/>
    <x v="0"/>
    <s v="Online"/>
    <x v="18"/>
    <x v="50"/>
  </r>
  <r>
    <x v="38"/>
    <x v="46"/>
    <x v="3"/>
    <x v="2"/>
    <x v="51"/>
    <x v="3"/>
    <x v="3"/>
    <n v="2416.89"/>
    <n v="2778.3999999999901"/>
    <x v="0"/>
    <x v="8"/>
    <x v="0"/>
    <s v="Online"/>
    <x v="6"/>
    <x v="51"/>
  </r>
  <r>
    <x v="23"/>
    <x v="47"/>
    <x v="1"/>
    <x v="0"/>
    <x v="52"/>
    <x v="8"/>
    <x v="0"/>
    <n v="3851.45"/>
    <n v="4186.9799999999996"/>
    <x v="0"/>
    <x v="23"/>
    <x v="2"/>
    <s v="Online"/>
    <x v="11"/>
    <x v="52"/>
  </r>
  <r>
    <x v="19"/>
    <x v="48"/>
    <x v="2"/>
    <x v="1"/>
    <x v="53"/>
    <x v="17"/>
    <x v="3"/>
    <n v="3161.4"/>
    <n v="3339.66"/>
    <x v="0"/>
    <x v="3"/>
    <x v="1"/>
    <s v="Online"/>
    <x v="5"/>
    <x v="53"/>
  </r>
  <r>
    <x v="39"/>
    <x v="49"/>
    <x v="1"/>
    <x v="1"/>
    <x v="54"/>
    <x v="1"/>
    <x v="1"/>
    <n v="3184.65"/>
    <n v="3204.01"/>
    <x v="1"/>
    <x v="2"/>
    <x v="1"/>
    <s v="Online"/>
    <x v="13"/>
    <x v="54"/>
  </r>
  <r>
    <x v="40"/>
    <x v="40"/>
    <x v="4"/>
    <x v="0"/>
    <x v="55"/>
    <x v="19"/>
    <x v="2"/>
    <n v="2278.9"/>
    <n v="2626.9"/>
    <x v="1"/>
    <x v="8"/>
    <x v="2"/>
    <s v="Online"/>
    <x v="15"/>
    <x v="55"/>
  </r>
  <r>
    <x v="41"/>
    <x v="50"/>
    <x v="4"/>
    <x v="1"/>
    <x v="56"/>
    <x v="5"/>
    <x v="3"/>
    <n v="2678.99"/>
    <n v="3152.2799999999902"/>
    <x v="0"/>
    <x v="20"/>
    <x v="0"/>
    <s v="Retail"/>
    <x v="17"/>
    <x v="56"/>
  </r>
  <r>
    <x v="14"/>
    <x v="51"/>
    <x v="1"/>
    <x v="3"/>
    <x v="57"/>
    <x v="6"/>
    <x v="3"/>
    <n v="3741.3"/>
    <n v="4061.04"/>
    <x v="0"/>
    <x v="5"/>
    <x v="2"/>
    <s v="Online"/>
    <x v="16"/>
    <x v="57"/>
  </r>
  <r>
    <x v="15"/>
    <x v="52"/>
    <x v="1"/>
    <x v="3"/>
    <x v="58"/>
    <x v="9"/>
    <x v="2"/>
    <n v="4138.41"/>
    <n v="4361.7"/>
    <x v="0"/>
    <x v="17"/>
    <x v="2"/>
    <s v="Retail"/>
    <x v="16"/>
    <x v="58"/>
  </r>
  <r>
    <x v="42"/>
    <x v="53"/>
    <x v="4"/>
    <x v="1"/>
    <x v="59"/>
    <x v="9"/>
    <x v="0"/>
    <n v="3497.98"/>
    <n v="3765.31"/>
    <x v="1"/>
    <x v="4"/>
    <x v="0"/>
    <s v="Online"/>
    <x v="17"/>
    <x v="59"/>
  </r>
  <r>
    <x v="28"/>
    <x v="54"/>
    <x v="2"/>
    <x v="3"/>
    <x v="60"/>
    <x v="11"/>
    <x v="3"/>
    <n v="4624.16"/>
    <n v="4731.9799999999996"/>
    <x v="1"/>
    <x v="2"/>
    <x v="1"/>
    <s v="Retail"/>
    <x v="4"/>
    <x v="60"/>
  </r>
  <r>
    <x v="19"/>
    <x v="55"/>
    <x v="3"/>
    <x v="3"/>
    <x v="61"/>
    <x v="18"/>
    <x v="2"/>
    <n v="4110.6000000000004"/>
    <n v="4488.37"/>
    <x v="1"/>
    <x v="7"/>
    <x v="2"/>
    <s v="Online"/>
    <x v="14"/>
    <x v="61"/>
  </r>
  <r>
    <x v="43"/>
    <x v="56"/>
    <x v="3"/>
    <x v="1"/>
    <x v="62"/>
    <x v="32"/>
    <x v="0"/>
    <n v="2831.23"/>
    <n v="3206.98"/>
    <x v="0"/>
    <x v="18"/>
    <x v="1"/>
    <s v="Retail"/>
    <x v="8"/>
    <x v="62"/>
  </r>
  <r>
    <x v="44"/>
    <x v="57"/>
    <x v="1"/>
    <x v="2"/>
    <x v="63"/>
    <x v="33"/>
    <x v="1"/>
    <n v="3373.46"/>
    <n v="3454.76"/>
    <x v="0"/>
    <x v="20"/>
    <x v="1"/>
    <s v="Retail"/>
    <x v="2"/>
    <x v="63"/>
  </r>
  <r>
    <x v="45"/>
    <x v="58"/>
    <x v="3"/>
    <x v="0"/>
    <x v="64"/>
    <x v="34"/>
    <x v="2"/>
    <n v="4635.2299999999996"/>
    <n v="5075.4399999999996"/>
    <x v="0"/>
    <x v="8"/>
    <x v="0"/>
    <s v="Online"/>
    <x v="7"/>
    <x v="64"/>
  </r>
  <r>
    <x v="31"/>
    <x v="59"/>
    <x v="4"/>
    <x v="3"/>
    <x v="65"/>
    <x v="35"/>
    <x v="3"/>
    <n v="3114.88"/>
    <n v="3256.78"/>
    <x v="0"/>
    <x v="16"/>
    <x v="2"/>
    <s v="Online"/>
    <x v="18"/>
    <x v="65"/>
  </r>
  <r>
    <x v="46"/>
    <x v="60"/>
    <x v="4"/>
    <x v="2"/>
    <x v="66"/>
    <x v="27"/>
    <x v="1"/>
    <n v="4132.79"/>
    <n v="4624.1000000000004"/>
    <x v="1"/>
    <x v="25"/>
    <x v="2"/>
    <s v="Retail"/>
    <x v="9"/>
    <x v="66"/>
  </r>
  <r>
    <x v="47"/>
    <x v="10"/>
    <x v="1"/>
    <x v="3"/>
    <x v="67"/>
    <x v="29"/>
    <x v="0"/>
    <n v="3459.61"/>
    <n v="3657.23"/>
    <x v="0"/>
    <x v="21"/>
    <x v="1"/>
    <s v="Online"/>
    <x v="16"/>
    <x v="67"/>
  </r>
  <r>
    <x v="48"/>
    <x v="61"/>
    <x v="1"/>
    <x v="3"/>
    <x v="68"/>
    <x v="36"/>
    <x v="0"/>
    <n v="2782.08"/>
    <n v="2879.24"/>
    <x v="1"/>
    <x v="5"/>
    <x v="1"/>
    <s v="Online"/>
    <x v="16"/>
    <x v="68"/>
  </r>
  <r>
    <x v="49"/>
    <x v="62"/>
    <x v="1"/>
    <x v="0"/>
    <x v="69"/>
    <x v="37"/>
    <x v="2"/>
    <n v="1247.0999999999999"/>
    <n v="1429.4399999999901"/>
    <x v="1"/>
    <x v="28"/>
    <x v="0"/>
    <s v="Online"/>
    <x v="11"/>
    <x v="69"/>
  </r>
  <r>
    <x v="50"/>
    <x v="63"/>
    <x v="2"/>
    <x v="3"/>
    <x v="70"/>
    <x v="22"/>
    <x v="2"/>
    <n v="2158.69"/>
    <n v="2384.38"/>
    <x v="0"/>
    <x v="0"/>
    <x v="1"/>
    <s v="Retail"/>
    <x v="4"/>
    <x v="70"/>
  </r>
  <r>
    <x v="38"/>
    <x v="64"/>
    <x v="3"/>
    <x v="0"/>
    <x v="71"/>
    <x v="23"/>
    <x v="2"/>
    <n v="4840.33"/>
    <n v="4884.29"/>
    <x v="1"/>
    <x v="9"/>
    <x v="0"/>
    <s v="Online"/>
    <x v="7"/>
    <x v="71"/>
  </r>
  <r>
    <x v="15"/>
    <x v="65"/>
    <x v="1"/>
    <x v="0"/>
    <x v="72"/>
    <x v="38"/>
    <x v="0"/>
    <n v="3305.94"/>
    <n v="3599.27"/>
    <x v="1"/>
    <x v="0"/>
    <x v="2"/>
    <s v="Retail"/>
    <x v="11"/>
    <x v="72"/>
  </r>
  <r>
    <x v="51"/>
    <x v="66"/>
    <x v="0"/>
    <x v="0"/>
    <x v="73"/>
    <x v="37"/>
    <x v="1"/>
    <n v="2843.76"/>
    <n v="3146.6"/>
    <x v="1"/>
    <x v="4"/>
    <x v="0"/>
    <s v="Retail"/>
    <x v="0"/>
    <x v="73"/>
  </r>
  <r>
    <x v="52"/>
    <x v="67"/>
    <x v="0"/>
    <x v="2"/>
    <x v="74"/>
    <x v="9"/>
    <x v="0"/>
    <n v="4668.1400000000003"/>
    <n v="5040.22"/>
    <x v="1"/>
    <x v="8"/>
    <x v="1"/>
    <s v="Online"/>
    <x v="3"/>
    <x v="74"/>
  </r>
  <r>
    <x v="38"/>
    <x v="68"/>
    <x v="4"/>
    <x v="1"/>
    <x v="75"/>
    <x v="39"/>
    <x v="3"/>
    <n v="2953.23"/>
    <n v="2977.52"/>
    <x v="0"/>
    <x v="1"/>
    <x v="2"/>
    <s v="Retail"/>
    <x v="17"/>
    <x v="75"/>
  </r>
  <r>
    <x v="52"/>
    <x v="69"/>
    <x v="3"/>
    <x v="2"/>
    <x v="76"/>
    <x v="11"/>
    <x v="0"/>
    <n v="2654.11"/>
    <n v="2929.32"/>
    <x v="0"/>
    <x v="4"/>
    <x v="0"/>
    <s v="Online"/>
    <x v="6"/>
    <x v="76"/>
  </r>
  <r>
    <x v="1"/>
    <x v="70"/>
    <x v="1"/>
    <x v="1"/>
    <x v="77"/>
    <x v="12"/>
    <x v="3"/>
    <n v="3808.59"/>
    <n v="3844.51"/>
    <x v="1"/>
    <x v="5"/>
    <x v="2"/>
    <s v="Online"/>
    <x v="13"/>
    <x v="77"/>
  </r>
  <r>
    <x v="53"/>
    <x v="71"/>
    <x v="0"/>
    <x v="1"/>
    <x v="78"/>
    <x v="3"/>
    <x v="1"/>
    <n v="3577.69"/>
    <n v="3931.25"/>
    <x v="0"/>
    <x v="5"/>
    <x v="0"/>
    <s v="Retail"/>
    <x v="1"/>
    <x v="78"/>
  </r>
  <r>
    <x v="37"/>
    <x v="72"/>
    <x v="3"/>
    <x v="0"/>
    <x v="79"/>
    <x v="40"/>
    <x v="2"/>
    <n v="1006.14"/>
    <n v="1043.45"/>
    <x v="1"/>
    <x v="25"/>
    <x v="1"/>
    <s v="Retail"/>
    <x v="7"/>
    <x v="79"/>
  </r>
  <r>
    <x v="41"/>
    <x v="73"/>
    <x v="4"/>
    <x v="3"/>
    <x v="80"/>
    <x v="1"/>
    <x v="2"/>
    <n v="2382.98"/>
    <n v="2839.73"/>
    <x v="0"/>
    <x v="10"/>
    <x v="1"/>
    <s v="Retail"/>
    <x v="18"/>
    <x v="80"/>
  </r>
  <r>
    <x v="44"/>
    <x v="74"/>
    <x v="2"/>
    <x v="0"/>
    <x v="81"/>
    <x v="32"/>
    <x v="0"/>
    <n v="2388.9499999999998"/>
    <n v="2742.97"/>
    <x v="0"/>
    <x v="26"/>
    <x v="2"/>
    <s v="Retail"/>
    <x v="19"/>
    <x v="81"/>
  </r>
  <r>
    <x v="54"/>
    <x v="75"/>
    <x v="3"/>
    <x v="3"/>
    <x v="82"/>
    <x v="12"/>
    <x v="2"/>
    <n v="1922.21"/>
    <n v="2180.83"/>
    <x v="0"/>
    <x v="22"/>
    <x v="2"/>
    <s v="Retail"/>
    <x v="14"/>
    <x v="82"/>
  </r>
  <r>
    <x v="55"/>
    <x v="76"/>
    <x v="3"/>
    <x v="1"/>
    <x v="83"/>
    <x v="34"/>
    <x v="1"/>
    <n v="2610.6"/>
    <n v="2836.94"/>
    <x v="0"/>
    <x v="27"/>
    <x v="2"/>
    <s v="Online"/>
    <x v="8"/>
    <x v="83"/>
  </r>
  <r>
    <x v="30"/>
    <x v="77"/>
    <x v="2"/>
    <x v="0"/>
    <x v="84"/>
    <x v="40"/>
    <x v="2"/>
    <n v="2094.88"/>
    <n v="2168.91"/>
    <x v="0"/>
    <x v="4"/>
    <x v="0"/>
    <s v="Retail"/>
    <x v="19"/>
    <x v="84"/>
  </r>
  <r>
    <x v="10"/>
    <x v="78"/>
    <x v="3"/>
    <x v="3"/>
    <x v="85"/>
    <x v="39"/>
    <x v="0"/>
    <n v="1036.76"/>
    <n v="1189.3499999999999"/>
    <x v="1"/>
    <x v="29"/>
    <x v="1"/>
    <s v="Online"/>
    <x v="14"/>
    <x v="85"/>
  </r>
  <r>
    <x v="39"/>
    <x v="6"/>
    <x v="4"/>
    <x v="2"/>
    <x v="86"/>
    <x v="34"/>
    <x v="1"/>
    <n v="2091.21"/>
    <n v="2527"/>
    <x v="0"/>
    <x v="30"/>
    <x v="2"/>
    <s v="Online"/>
    <x v="9"/>
    <x v="86"/>
  </r>
  <r>
    <x v="56"/>
    <x v="79"/>
    <x v="4"/>
    <x v="3"/>
    <x v="87"/>
    <x v="35"/>
    <x v="3"/>
    <n v="407.77"/>
    <n v="860.95"/>
    <x v="1"/>
    <x v="15"/>
    <x v="2"/>
    <s v="Retail"/>
    <x v="18"/>
    <x v="87"/>
  </r>
  <r>
    <x v="57"/>
    <x v="80"/>
    <x v="2"/>
    <x v="0"/>
    <x v="88"/>
    <x v="41"/>
    <x v="0"/>
    <n v="2900.14"/>
    <n v="2910.5099999999902"/>
    <x v="1"/>
    <x v="20"/>
    <x v="2"/>
    <s v="Retail"/>
    <x v="19"/>
    <x v="88"/>
  </r>
  <r>
    <x v="2"/>
    <x v="81"/>
    <x v="1"/>
    <x v="2"/>
    <x v="89"/>
    <x v="33"/>
    <x v="3"/>
    <n v="4275.59"/>
    <n v="4576.72"/>
    <x v="0"/>
    <x v="3"/>
    <x v="0"/>
    <s v="Retail"/>
    <x v="2"/>
    <x v="89"/>
  </r>
  <r>
    <x v="3"/>
    <x v="61"/>
    <x v="0"/>
    <x v="3"/>
    <x v="90"/>
    <x v="42"/>
    <x v="1"/>
    <n v="3640.17"/>
    <n v="4002.63"/>
    <x v="1"/>
    <x v="8"/>
    <x v="2"/>
    <s v="Retail"/>
    <x v="12"/>
    <x v="90"/>
  </r>
  <r>
    <x v="47"/>
    <x v="41"/>
    <x v="1"/>
    <x v="3"/>
    <x v="91"/>
    <x v="37"/>
    <x v="0"/>
    <n v="1833.95"/>
    <n v="2147.14"/>
    <x v="0"/>
    <x v="13"/>
    <x v="2"/>
    <s v="Retail"/>
    <x v="16"/>
    <x v="91"/>
  </r>
  <r>
    <x v="7"/>
    <x v="25"/>
    <x v="3"/>
    <x v="3"/>
    <x v="92"/>
    <x v="8"/>
    <x v="0"/>
    <n v="481"/>
    <n v="531.02"/>
    <x v="1"/>
    <x v="22"/>
    <x v="0"/>
    <s v="Online"/>
    <x v="14"/>
    <x v="92"/>
  </r>
  <r>
    <x v="30"/>
    <x v="82"/>
    <x v="0"/>
    <x v="3"/>
    <x v="93"/>
    <x v="43"/>
    <x v="1"/>
    <n v="1050.6400000000001"/>
    <n v="1167.33"/>
    <x v="1"/>
    <x v="20"/>
    <x v="0"/>
    <s v="Online"/>
    <x v="12"/>
    <x v="93"/>
  </r>
  <r>
    <x v="58"/>
    <x v="83"/>
    <x v="2"/>
    <x v="3"/>
    <x v="94"/>
    <x v="4"/>
    <x v="2"/>
    <n v="2750.18"/>
    <n v="2882.85"/>
    <x v="0"/>
    <x v="19"/>
    <x v="2"/>
    <s v="Online"/>
    <x v="4"/>
    <x v="94"/>
  </r>
  <r>
    <x v="59"/>
    <x v="24"/>
    <x v="2"/>
    <x v="2"/>
    <x v="95"/>
    <x v="5"/>
    <x v="0"/>
    <n v="1074.93"/>
    <n v="1492.48"/>
    <x v="0"/>
    <x v="14"/>
    <x v="2"/>
    <s v="Retail"/>
    <x v="10"/>
    <x v="95"/>
  </r>
  <r>
    <x v="29"/>
    <x v="3"/>
    <x v="0"/>
    <x v="1"/>
    <x v="96"/>
    <x v="1"/>
    <x v="0"/>
    <n v="2742.67"/>
    <n v="2979.64"/>
    <x v="0"/>
    <x v="30"/>
    <x v="0"/>
    <s v="Retail"/>
    <x v="1"/>
    <x v="96"/>
  </r>
  <r>
    <x v="60"/>
    <x v="84"/>
    <x v="4"/>
    <x v="2"/>
    <x v="97"/>
    <x v="36"/>
    <x v="3"/>
    <n v="1196.42"/>
    <n v="1444.97"/>
    <x v="0"/>
    <x v="5"/>
    <x v="1"/>
    <s v="Online"/>
    <x v="9"/>
    <x v="97"/>
  </r>
  <r>
    <x v="14"/>
    <x v="28"/>
    <x v="0"/>
    <x v="2"/>
    <x v="98"/>
    <x v="43"/>
    <x v="2"/>
    <n v="4252.17"/>
    <n v="4720.2700000000004"/>
    <x v="1"/>
    <x v="0"/>
    <x v="0"/>
    <s v="Retail"/>
    <x v="3"/>
    <x v="98"/>
  </r>
  <r>
    <x v="11"/>
    <x v="85"/>
    <x v="3"/>
    <x v="2"/>
    <x v="99"/>
    <x v="7"/>
    <x v="3"/>
    <n v="2016.49"/>
    <n v="2338.66"/>
    <x v="0"/>
    <x v="27"/>
    <x v="1"/>
    <s v="Retail"/>
    <x v="6"/>
    <x v="99"/>
  </r>
  <r>
    <x v="61"/>
    <x v="86"/>
    <x v="4"/>
    <x v="1"/>
    <x v="100"/>
    <x v="12"/>
    <x v="3"/>
    <n v="1265.48"/>
    <n v="1715.83"/>
    <x v="1"/>
    <x v="8"/>
    <x v="2"/>
    <s v="Retail"/>
    <x v="17"/>
    <x v="100"/>
  </r>
  <r>
    <x v="23"/>
    <x v="58"/>
    <x v="2"/>
    <x v="0"/>
    <x v="101"/>
    <x v="22"/>
    <x v="2"/>
    <n v="4071.01"/>
    <n v="4304.7"/>
    <x v="1"/>
    <x v="6"/>
    <x v="2"/>
    <s v="Online"/>
    <x v="19"/>
    <x v="101"/>
  </r>
  <r>
    <x v="19"/>
    <x v="87"/>
    <x v="0"/>
    <x v="1"/>
    <x v="102"/>
    <x v="7"/>
    <x v="2"/>
    <n v="1747.05"/>
    <n v="1830.27"/>
    <x v="1"/>
    <x v="25"/>
    <x v="1"/>
    <s v="Retail"/>
    <x v="1"/>
    <x v="102"/>
  </r>
  <r>
    <x v="62"/>
    <x v="10"/>
    <x v="1"/>
    <x v="2"/>
    <x v="103"/>
    <x v="11"/>
    <x v="1"/>
    <n v="601.86"/>
    <n v="1067.53"/>
    <x v="1"/>
    <x v="13"/>
    <x v="0"/>
    <s v="Online"/>
    <x v="2"/>
    <x v="103"/>
  </r>
  <r>
    <x v="63"/>
    <x v="88"/>
    <x v="1"/>
    <x v="3"/>
    <x v="104"/>
    <x v="40"/>
    <x v="2"/>
    <n v="2873.53"/>
    <n v="3108.3"/>
    <x v="1"/>
    <x v="25"/>
    <x v="2"/>
    <s v="Retail"/>
    <x v="16"/>
    <x v="104"/>
  </r>
  <r>
    <x v="2"/>
    <x v="10"/>
    <x v="3"/>
    <x v="3"/>
    <x v="105"/>
    <x v="21"/>
    <x v="0"/>
    <n v="2928.74"/>
    <n v="3027.74"/>
    <x v="1"/>
    <x v="25"/>
    <x v="1"/>
    <s v="Retail"/>
    <x v="14"/>
    <x v="105"/>
  </r>
  <r>
    <x v="64"/>
    <x v="89"/>
    <x v="1"/>
    <x v="2"/>
    <x v="106"/>
    <x v="31"/>
    <x v="2"/>
    <n v="3587.74"/>
    <n v="3745.91"/>
    <x v="0"/>
    <x v="15"/>
    <x v="0"/>
    <s v="Online"/>
    <x v="2"/>
    <x v="106"/>
  </r>
  <r>
    <x v="65"/>
    <x v="90"/>
    <x v="0"/>
    <x v="3"/>
    <x v="107"/>
    <x v="0"/>
    <x v="1"/>
    <n v="1239.0899999999999"/>
    <n v="1273.98"/>
    <x v="1"/>
    <x v="3"/>
    <x v="1"/>
    <s v="Retail"/>
    <x v="12"/>
    <x v="107"/>
  </r>
  <r>
    <x v="23"/>
    <x v="91"/>
    <x v="0"/>
    <x v="2"/>
    <x v="108"/>
    <x v="10"/>
    <x v="1"/>
    <n v="2246.67"/>
    <n v="2486.14"/>
    <x v="1"/>
    <x v="21"/>
    <x v="0"/>
    <s v="Retail"/>
    <x v="3"/>
    <x v="108"/>
  </r>
  <r>
    <x v="43"/>
    <x v="92"/>
    <x v="1"/>
    <x v="3"/>
    <x v="109"/>
    <x v="11"/>
    <x v="1"/>
    <n v="1447.72"/>
    <n v="1875.75"/>
    <x v="1"/>
    <x v="9"/>
    <x v="0"/>
    <s v="Retail"/>
    <x v="16"/>
    <x v="109"/>
  </r>
  <r>
    <x v="40"/>
    <x v="14"/>
    <x v="0"/>
    <x v="1"/>
    <x v="110"/>
    <x v="19"/>
    <x v="2"/>
    <n v="450.72"/>
    <n v="918.17"/>
    <x v="0"/>
    <x v="1"/>
    <x v="0"/>
    <s v="Online"/>
    <x v="1"/>
    <x v="110"/>
  </r>
  <r>
    <x v="9"/>
    <x v="93"/>
    <x v="3"/>
    <x v="0"/>
    <x v="111"/>
    <x v="26"/>
    <x v="2"/>
    <n v="4389.24"/>
    <n v="4856.2199999999903"/>
    <x v="0"/>
    <x v="25"/>
    <x v="0"/>
    <s v="Retail"/>
    <x v="7"/>
    <x v="111"/>
  </r>
  <r>
    <x v="66"/>
    <x v="94"/>
    <x v="4"/>
    <x v="0"/>
    <x v="112"/>
    <x v="29"/>
    <x v="3"/>
    <n v="3657.91"/>
    <n v="3729.27"/>
    <x v="1"/>
    <x v="0"/>
    <x v="1"/>
    <s v="Retail"/>
    <x v="15"/>
    <x v="112"/>
  </r>
  <r>
    <x v="45"/>
    <x v="95"/>
    <x v="3"/>
    <x v="1"/>
    <x v="113"/>
    <x v="38"/>
    <x v="3"/>
    <n v="1542.24"/>
    <n v="1739.45"/>
    <x v="0"/>
    <x v="5"/>
    <x v="1"/>
    <s v="Retail"/>
    <x v="8"/>
    <x v="113"/>
  </r>
  <r>
    <x v="9"/>
    <x v="96"/>
    <x v="3"/>
    <x v="1"/>
    <x v="114"/>
    <x v="25"/>
    <x v="0"/>
    <n v="3016.9"/>
    <n v="3040.73"/>
    <x v="1"/>
    <x v="16"/>
    <x v="1"/>
    <s v="Retail"/>
    <x v="8"/>
    <x v="114"/>
  </r>
  <r>
    <x v="53"/>
    <x v="97"/>
    <x v="0"/>
    <x v="2"/>
    <x v="115"/>
    <x v="41"/>
    <x v="3"/>
    <n v="1046.26"/>
    <n v="1475.29"/>
    <x v="0"/>
    <x v="0"/>
    <x v="1"/>
    <s v="Retail"/>
    <x v="3"/>
    <x v="115"/>
  </r>
  <r>
    <x v="67"/>
    <x v="98"/>
    <x v="4"/>
    <x v="2"/>
    <x v="116"/>
    <x v="34"/>
    <x v="0"/>
    <n v="4456.67"/>
    <n v="4642.46"/>
    <x v="1"/>
    <x v="18"/>
    <x v="1"/>
    <s v="Online"/>
    <x v="9"/>
    <x v="116"/>
  </r>
  <r>
    <x v="48"/>
    <x v="99"/>
    <x v="0"/>
    <x v="2"/>
    <x v="117"/>
    <x v="16"/>
    <x v="1"/>
    <n v="618.79"/>
    <n v="938.04"/>
    <x v="0"/>
    <x v="21"/>
    <x v="0"/>
    <s v="Online"/>
    <x v="3"/>
    <x v="117"/>
  </r>
  <r>
    <x v="45"/>
    <x v="100"/>
    <x v="2"/>
    <x v="3"/>
    <x v="118"/>
    <x v="30"/>
    <x v="3"/>
    <n v="68.989999999999995"/>
    <n v="429.29"/>
    <x v="0"/>
    <x v="13"/>
    <x v="2"/>
    <s v="Retail"/>
    <x v="4"/>
    <x v="118"/>
  </r>
  <r>
    <x v="46"/>
    <x v="101"/>
    <x v="0"/>
    <x v="2"/>
    <x v="119"/>
    <x v="14"/>
    <x v="2"/>
    <n v="2534.94"/>
    <n v="2755.56"/>
    <x v="0"/>
    <x v="9"/>
    <x v="2"/>
    <s v="Retail"/>
    <x v="3"/>
    <x v="119"/>
  </r>
  <r>
    <x v="46"/>
    <x v="42"/>
    <x v="0"/>
    <x v="1"/>
    <x v="120"/>
    <x v="20"/>
    <x v="3"/>
    <n v="2936.48"/>
    <n v="3096.64"/>
    <x v="1"/>
    <x v="18"/>
    <x v="1"/>
    <s v="Online"/>
    <x v="1"/>
    <x v="120"/>
  </r>
  <r>
    <x v="20"/>
    <x v="102"/>
    <x v="0"/>
    <x v="0"/>
    <x v="121"/>
    <x v="25"/>
    <x v="0"/>
    <n v="2915.88"/>
    <n v="3397.36"/>
    <x v="1"/>
    <x v="2"/>
    <x v="1"/>
    <s v="Retail"/>
    <x v="0"/>
    <x v="121"/>
  </r>
  <r>
    <x v="68"/>
    <x v="103"/>
    <x v="4"/>
    <x v="3"/>
    <x v="122"/>
    <x v="26"/>
    <x v="3"/>
    <n v="319.83"/>
    <n v="802.43"/>
    <x v="1"/>
    <x v="14"/>
    <x v="2"/>
    <s v="Retail"/>
    <x v="18"/>
    <x v="122"/>
  </r>
  <r>
    <x v="62"/>
    <x v="104"/>
    <x v="0"/>
    <x v="2"/>
    <x v="123"/>
    <x v="17"/>
    <x v="1"/>
    <n v="1604.52"/>
    <n v="1756.34"/>
    <x v="0"/>
    <x v="22"/>
    <x v="0"/>
    <s v="Retail"/>
    <x v="3"/>
    <x v="123"/>
  </r>
  <r>
    <x v="69"/>
    <x v="5"/>
    <x v="4"/>
    <x v="3"/>
    <x v="124"/>
    <x v="38"/>
    <x v="2"/>
    <n v="2521.0300000000002"/>
    <n v="2766.05"/>
    <x v="0"/>
    <x v="28"/>
    <x v="1"/>
    <s v="Retail"/>
    <x v="18"/>
    <x v="124"/>
  </r>
  <r>
    <x v="34"/>
    <x v="103"/>
    <x v="1"/>
    <x v="3"/>
    <x v="125"/>
    <x v="28"/>
    <x v="0"/>
    <n v="1122.07"/>
    <n v="1608.76"/>
    <x v="1"/>
    <x v="20"/>
    <x v="0"/>
    <s v="Retail"/>
    <x v="16"/>
    <x v="125"/>
  </r>
  <r>
    <x v="35"/>
    <x v="87"/>
    <x v="2"/>
    <x v="2"/>
    <x v="126"/>
    <x v="27"/>
    <x v="2"/>
    <n v="4369.5"/>
    <n v="4381.8900000000003"/>
    <x v="0"/>
    <x v="3"/>
    <x v="2"/>
    <s v="Retail"/>
    <x v="10"/>
    <x v="126"/>
  </r>
  <r>
    <x v="3"/>
    <x v="90"/>
    <x v="4"/>
    <x v="3"/>
    <x v="127"/>
    <x v="44"/>
    <x v="2"/>
    <n v="481.19"/>
    <n v="693.4"/>
    <x v="1"/>
    <x v="29"/>
    <x v="2"/>
    <s v="Retail"/>
    <x v="18"/>
    <x v="127"/>
  </r>
  <r>
    <x v="70"/>
    <x v="105"/>
    <x v="1"/>
    <x v="0"/>
    <x v="128"/>
    <x v="24"/>
    <x v="0"/>
    <n v="2462.5500000000002"/>
    <n v="2521.77"/>
    <x v="1"/>
    <x v="5"/>
    <x v="1"/>
    <s v="Retail"/>
    <x v="11"/>
    <x v="128"/>
  </r>
  <r>
    <x v="54"/>
    <x v="106"/>
    <x v="4"/>
    <x v="1"/>
    <x v="129"/>
    <x v="45"/>
    <x v="2"/>
    <n v="3472.51"/>
    <n v="3732"/>
    <x v="1"/>
    <x v="18"/>
    <x v="0"/>
    <s v="Online"/>
    <x v="17"/>
    <x v="129"/>
  </r>
  <r>
    <x v="20"/>
    <x v="107"/>
    <x v="4"/>
    <x v="1"/>
    <x v="130"/>
    <x v="38"/>
    <x v="2"/>
    <n v="1345.67"/>
    <n v="1367.76"/>
    <x v="1"/>
    <x v="18"/>
    <x v="1"/>
    <s v="Online"/>
    <x v="17"/>
    <x v="130"/>
  </r>
  <r>
    <x v="57"/>
    <x v="108"/>
    <x v="2"/>
    <x v="0"/>
    <x v="131"/>
    <x v="31"/>
    <x v="3"/>
    <n v="3139.99"/>
    <n v="3349.37"/>
    <x v="0"/>
    <x v="9"/>
    <x v="2"/>
    <s v="Retail"/>
    <x v="19"/>
    <x v="131"/>
  </r>
  <r>
    <x v="71"/>
    <x v="109"/>
    <x v="3"/>
    <x v="3"/>
    <x v="132"/>
    <x v="14"/>
    <x v="2"/>
    <n v="4155.46"/>
    <n v="4273.6000000000004"/>
    <x v="0"/>
    <x v="26"/>
    <x v="0"/>
    <s v="Retail"/>
    <x v="14"/>
    <x v="132"/>
  </r>
  <r>
    <x v="30"/>
    <x v="110"/>
    <x v="3"/>
    <x v="2"/>
    <x v="133"/>
    <x v="42"/>
    <x v="2"/>
    <n v="992.17"/>
    <n v="1263.49"/>
    <x v="0"/>
    <x v="26"/>
    <x v="1"/>
    <s v="Retail"/>
    <x v="6"/>
    <x v="133"/>
  </r>
  <r>
    <x v="9"/>
    <x v="111"/>
    <x v="4"/>
    <x v="3"/>
    <x v="134"/>
    <x v="46"/>
    <x v="2"/>
    <n v="4590.24"/>
    <n v="5088.28"/>
    <x v="1"/>
    <x v="28"/>
    <x v="1"/>
    <s v="Retail"/>
    <x v="18"/>
    <x v="134"/>
  </r>
  <r>
    <x v="72"/>
    <x v="112"/>
    <x v="0"/>
    <x v="0"/>
    <x v="135"/>
    <x v="11"/>
    <x v="2"/>
    <n v="2790.11"/>
    <n v="3192.37"/>
    <x v="0"/>
    <x v="16"/>
    <x v="1"/>
    <s v="Online"/>
    <x v="0"/>
    <x v="135"/>
  </r>
  <r>
    <x v="73"/>
    <x v="113"/>
    <x v="1"/>
    <x v="3"/>
    <x v="136"/>
    <x v="15"/>
    <x v="0"/>
    <n v="1531.2"/>
    <n v="1955.56"/>
    <x v="1"/>
    <x v="11"/>
    <x v="2"/>
    <s v="Online"/>
    <x v="16"/>
    <x v="136"/>
  </r>
  <r>
    <x v="44"/>
    <x v="114"/>
    <x v="0"/>
    <x v="1"/>
    <x v="137"/>
    <x v="12"/>
    <x v="1"/>
    <n v="2182.75"/>
    <n v="2504.0299999999902"/>
    <x v="1"/>
    <x v="30"/>
    <x v="1"/>
    <s v="Online"/>
    <x v="1"/>
    <x v="137"/>
  </r>
  <r>
    <x v="74"/>
    <x v="115"/>
    <x v="0"/>
    <x v="3"/>
    <x v="138"/>
    <x v="45"/>
    <x v="3"/>
    <n v="1595.35"/>
    <n v="1625.70999999999"/>
    <x v="1"/>
    <x v="29"/>
    <x v="0"/>
    <s v="Online"/>
    <x v="12"/>
    <x v="138"/>
  </r>
  <r>
    <x v="25"/>
    <x v="116"/>
    <x v="4"/>
    <x v="0"/>
    <x v="139"/>
    <x v="38"/>
    <x v="2"/>
    <n v="3639.3"/>
    <n v="3750.63"/>
    <x v="1"/>
    <x v="10"/>
    <x v="1"/>
    <s v="Retail"/>
    <x v="15"/>
    <x v="139"/>
  </r>
  <r>
    <x v="46"/>
    <x v="53"/>
    <x v="4"/>
    <x v="1"/>
    <x v="140"/>
    <x v="47"/>
    <x v="2"/>
    <n v="3991.69"/>
    <n v="4454.97"/>
    <x v="1"/>
    <x v="6"/>
    <x v="2"/>
    <s v="Retail"/>
    <x v="17"/>
    <x v="140"/>
  </r>
  <r>
    <x v="65"/>
    <x v="117"/>
    <x v="4"/>
    <x v="3"/>
    <x v="141"/>
    <x v="45"/>
    <x v="0"/>
    <n v="4173.04"/>
    <n v="4362.4399999999996"/>
    <x v="1"/>
    <x v="10"/>
    <x v="1"/>
    <s v="Retail"/>
    <x v="18"/>
    <x v="141"/>
  </r>
  <r>
    <x v="73"/>
    <x v="106"/>
    <x v="4"/>
    <x v="3"/>
    <x v="142"/>
    <x v="30"/>
    <x v="1"/>
    <n v="4929.55"/>
    <n v="4990.33"/>
    <x v="0"/>
    <x v="12"/>
    <x v="2"/>
    <s v="Online"/>
    <x v="18"/>
    <x v="142"/>
  </r>
  <r>
    <x v="31"/>
    <x v="106"/>
    <x v="3"/>
    <x v="1"/>
    <x v="143"/>
    <x v="25"/>
    <x v="2"/>
    <n v="3966.86"/>
    <n v="4321.04"/>
    <x v="0"/>
    <x v="10"/>
    <x v="2"/>
    <s v="Retail"/>
    <x v="8"/>
    <x v="143"/>
  </r>
  <r>
    <x v="47"/>
    <x v="118"/>
    <x v="4"/>
    <x v="2"/>
    <x v="144"/>
    <x v="37"/>
    <x v="0"/>
    <n v="3026.85"/>
    <n v="3183.58"/>
    <x v="0"/>
    <x v="26"/>
    <x v="0"/>
    <s v="Retail"/>
    <x v="9"/>
    <x v="144"/>
  </r>
  <r>
    <x v="12"/>
    <x v="18"/>
    <x v="3"/>
    <x v="1"/>
    <x v="145"/>
    <x v="13"/>
    <x v="3"/>
    <n v="1729.14"/>
    <n v="1870.88"/>
    <x v="0"/>
    <x v="10"/>
    <x v="0"/>
    <s v="Online"/>
    <x v="8"/>
    <x v="145"/>
  </r>
  <r>
    <x v="66"/>
    <x v="39"/>
    <x v="3"/>
    <x v="2"/>
    <x v="146"/>
    <x v="22"/>
    <x v="3"/>
    <n v="2745.75"/>
    <n v="3244.76"/>
    <x v="1"/>
    <x v="8"/>
    <x v="1"/>
    <s v="Online"/>
    <x v="6"/>
    <x v="146"/>
  </r>
  <r>
    <x v="68"/>
    <x v="119"/>
    <x v="4"/>
    <x v="0"/>
    <x v="147"/>
    <x v="26"/>
    <x v="2"/>
    <n v="253.29"/>
    <n v="683.78"/>
    <x v="1"/>
    <x v="26"/>
    <x v="2"/>
    <s v="Online"/>
    <x v="15"/>
    <x v="147"/>
  </r>
  <r>
    <x v="41"/>
    <x v="109"/>
    <x v="2"/>
    <x v="0"/>
    <x v="148"/>
    <x v="36"/>
    <x v="2"/>
    <n v="3736.88"/>
    <n v="3946.77"/>
    <x v="0"/>
    <x v="18"/>
    <x v="2"/>
    <s v="Online"/>
    <x v="19"/>
    <x v="148"/>
  </r>
  <r>
    <x v="39"/>
    <x v="5"/>
    <x v="1"/>
    <x v="1"/>
    <x v="149"/>
    <x v="16"/>
    <x v="1"/>
    <n v="2257.48"/>
    <n v="2747.81"/>
    <x v="0"/>
    <x v="29"/>
    <x v="0"/>
    <s v="Online"/>
    <x v="13"/>
    <x v="149"/>
  </r>
  <r>
    <x v="75"/>
    <x v="120"/>
    <x v="0"/>
    <x v="1"/>
    <x v="150"/>
    <x v="42"/>
    <x v="1"/>
    <n v="149.11000000000001"/>
    <n v="477.67"/>
    <x v="0"/>
    <x v="6"/>
    <x v="0"/>
    <s v="Retail"/>
    <x v="1"/>
    <x v="150"/>
  </r>
  <r>
    <x v="40"/>
    <x v="1"/>
    <x v="3"/>
    <x v="0"/>
    <x v="151"/>
    <x v="20"/>
    <x v="2"/>
    <n v="359.41"/>
    <n v="733"/>
    <x v="0"/>
    <x v="2"/>
    <x v="1"/>
    <s v="Retail"/>
    <x v="7"/>
    <x v="151"/>
  </r>
  <r>
    <x v="76"/>
    <x v="121"/>
    <x v="1"/>
    <x v="2"/>
    <x v="152"/>
    <x v="24"/>
    <x v="0"/>
    <n v="1967.96"/>
    <n v="1993.4"/>
    <x v="0"/>
    <x v="25"/>
    <x v="2"/>
    <s v="Online"/>
    <x v="2"/>
    <x v="152"/>
  </r>
  <r>
    <x v="2"/>
    <x v="15"/>
    <x v="2"/>
    <x v="0"/>
    <x v="153"/>
    <x v="18"/>
    <x v="1"/>
    <n v="2937.94"/>
    <n v="3007.53"/>
    <x v="0"/>
    <x v="21"/>
    <x v="0"/>
    <s v="Retail"/>
    <x v="19"/>
    <x v="153"/>
  </r>
  <r>
    <x v="41"/>
    <x v="122"/>
    <x v="0"/>
    <x v="1"/>
    <x v="154"/>
    <x v="17"/>
    <x v="2"/>
    <n v="2347.81"/>
    <n v="2668.02"/>
    <x v="0"/>
    <x v="0"/>
    <x v="1"/>
    <s v="Retail"/>
    <x v="1"/>
    <x v="154"/>
  </r>
  <r>
    <x v="27"/>
    <x v="121"/>
    <x v="0"/>
    <x v="0"/>
    <x v="155"/>
    <x v="46"/>
    <x v="1"/>
    <n v="3115.06"/>
    <n v="3565.58"/>
    <x v="0"/>
    <x v="23"/>
    <x v="2"/>
    <s v="Retail"/>
    <x v="0"/>
    <x v="155"/>
  </r>
  <r>
    <x v="77"/>
    <x v="61"/>
    <x v="3"/>
    <x v="1"/>
    <x v="156"/>
    <x v="26"/>
    <x v="2"/>
    <n v="2427.46"/>
    <n v="2743.09"/>
    <x v="1"/>
    <x v="12"/>
    <x v="2"/>
    <s v="Retail"/>
    <x v="8"/>
    <x v="156"/>
  </r>
  <r>
    <x v="32"/>
    <x v="123"/>
    <x v="4"/>
    <x v="1"/>
    <x v="157"/>
    <x v="18"/>
    <x v="3"/>
    <n v="3325.43"/>
    <n v="3401.1"/>
    <x v="1"/>
    <x v="15"/>
    <x v="0"/>
    <s v="Online"/>
    <x v="17"/>
    <x v="157"/>
  </r>
  <r>
    <x v="53"/>
    <x v="15"/>
    <x v="2"/>
    <x v="0"/>
    <x v="158"/>
    <x v="41"/>
    <x v="2"/>
    <n v="1134.67"/>
    <n v="1201.3900000000001"/>
    <x v="1"/>
    <x v="23"/>
    <x v="1"/>
    <s v="Retail"/>
    <x v="19"/>
    <x v="158"/>
  </r>
  <r>
    <x v="78"/>
    <x v="124"/>
    <x v="3"/>
    <x v="2"/>
    <x v="159"/>
    <x v="18"/>
    <x v="3"/>
    <n v="608.57000000000005"/>
    <n v="1032.22"/>
    <x v="1"/>
    <x v="26"/>
    <x v="0"/>
    <s v="Retail"/>
    <x v="6"/>
    <x v="159"/>
  </r>
  <r>
    <x v="0"/>
    <x v="125"/>
    <x v="2"/>
    <x v="3"/>
    <x v="160"/>
    <x v="10"/>
    <x v="1"/>
    <n v="3002.35"/>
    <n v="3080.61"/>
    <x v="0"/>
    <x v="13"/>
    <x v="1"/>
    <s v="Retail"/>
    <x v="4"/>
    <x v="160"/>
  </r>
  <r>
    <x v="78"/>
    <x v="126"/>
    <x v="4"/>
    <x v="0"/>
    <x v="161"/>
    <x v="10"/>
    <x v="2"/>
    <n v="2449.21"/>
    <n v="2714.12"/>
    <x v="1"/>
    <x v="30"/>
    <x v="2"/>
    <s v="Online"/>
    <x v="15"/>
    <x v="161"/>
  </r>
  <r>
    <x v="38"/>
    <x v="35"/>
    <x v="4"/>
    <x v="3"/>
    <x v="162"/>
    <x v="21"/>
    <x v="1"/>
    <n v="182.99"/>
    <n v="211.18"/>
    <x v="0"/>
    <x v="29"/>
    <x v="1"/>
    <s v="Retail"/>
    <x v="18"/>
    <x v="162"/>
  </r>
  <r>
    <x v="79"/>
    <x v="69"/>
    <x v="3"/>
    <x v="0"/>
    <x v="163"/>
    <x v="44"/>
    <x v="3"/>
    <n v="1933.39"/>
    <n v="1982.92"/>
    <x v="1"/>
    <x v="22"/>
    <x v="1"/>
    <s v="Online"/>
    <x v="7"/>
    <x v="163"/>
  </r>
  <r>
    <x v="71"/>
    <x v="99"/>
    <x v="4"/>
    <x v="3"/>
    <x v="164"/>
    <x v="39"/>
    <x v="2"/>
    <n v="575.32000000000005"/>
    <n v="914.77"/>
    <x v="0"/>
    <x v="16"/>
    <x v="1"/>
    <s v="Online"/>
    <x v="18"/>
    <x v="164"/>
  </r>
  <r>
    <x v="2"/>
    <x v="127"/>
    <x v="1"/>
    <x v="2"/>
    <x v="165"/>
    <x v="2"/>
    <x v="1"/>
    <n v="2680.22"/>
    <n v="3027.9199999999901"/>
    <x v="0"/>
    <x v="26"/>
    <x v="1"/>
    <s v="Online"/>
    <x v="2"/>
    <x v="165"/>
  </r>
  <r>
    <x v="80"/>
    <x v="128"/>
    <x v="0"/>
    <x v="2"/>
    <x v="166"/>
    <x v="45"/>
    <x v="3"/>
    <n v="2009.1"/>
    <n v="2186.42"/>
    <x v="1"/>
    <x v="26"/>
    <x v="1"/>
    <s v="Online"/>
    <x v="3"/>
    <x v="166"/>
  </r>
  <r>
    <x v="63"/>
    <x v="111"/>
    <x v="3"/>
    <x v="0"/>
    <x v="167"/>
    <x v="9"/>
    <x v="1"/>
    <n v="3085.1"/>
    <n v="3200.75"/>
    <x v="1"/>
    <x v="5"/>
    <x v="0"/>
    <s v="Retail"/>
    <x v="7"/>
    <x v="167"/>
  </r>
  <r>
    <x v="49"/>
    <x v="40"/>
    <x v="2"/>
    <x v="1"/>
    <x v="168"/>
    <x v="44"/>
    <x v="0"/>
    <n v="4037.73"/>
    <n v="4446.45"/>
    <x v="0"/>
    <x v="0"/>
    <x v="1"/>
    <s v="Online"/>
    <x v="5"/>
    <x v="168"/>
  </r>
  <r>
    <x v="81"/>
    <x v="129"/>
    <x v="1"/>
    <x v="3"/>
    <x v="169"/>
    <x v="46"/>
    <x v="3"/>
    <n v="1533.36"/>
    <n v="1649.73999999999"/>
    <x v="0"/>
    <x v="15"/>
    <x v="1"/>
    <s v="Online"/>
    <x v="16"/>
    <x v="169"/>
  </r>
  <r>
    <x v="82"/>
    <x v="130"/>
    <x v="3"/>
    <x v="1"/>
    <x v="170"/>
    <x v="37"/>
    <x v="3"/>
    <n v="4812.41"/>
    <n v="5088"/>
    <x v="0"/>
    <x v="0"/>
    <x v="2"/>
    <s v="Online"/>
    <x v="8"/>
    <x v="170"/>
  </r>
  <r>
    <x v="43"/>
    <x v="131"/>
    <x v="4"/>
    <x v="1"/>
    <x v="171"/>
    <x v="33"/>
    <x v="3"/>
    <n v="2701.39"/>
    <n v="3185.81"/>
    <x v="1"/>
    <x v="30"/>
    <x v="1"/>
    <s v="Online"/>
    <x v="17"/>
    <x v="171"/>
  </r>
  <r>
    <x v="26"/>
    <x v="132"/>
    <x v="4"/>
    <x v="1"/>
    <x v="172"/>
    <x v="9"/>
    <x v="2"/>
    <n v="3110.54"/>
    <n v="3192.99"/>
    <x v="1"/>
    <x v="22"/>
    <x v="2"/>
    <s v="Online"/>
    <x v="17"/>
    <x v="172"/>
  </r>
  <r>
    <x v="74"/>
    <x v="13"/>
    <x v="4"/>
    <x v="2"/>
    <x v="173"/>
    <x v="19"/>
    <x v="2"/>
    <n v="3419.33"/>
    <n v="3890.3599999999901"/>
    <x v="0"/>
    <x v="5"/>
    <x v="0"/>
    <s v="Retail"/>
    <x v="9"/>
    <x v="173"/>
  </r>
  <r>
    <x v="69"/>
    <x v="133"/>
    <x v="4"/>
    <x v="0"/>
    <x v="174"/>
    <x v="34"/>
    <x v="2"/>
    <n v="3350.32"/>
    <n v="3449.94"/>
    <x v="1"/>
    <x v="16"/>
    <x v="0"/>
    <s v="Online"/>
    <x v="15"/>
    <x v="174"/>
  </r>
  <r>
    <x v="83"/>
    <x v="134"/>
    <x v="2"/>
    <x v="0"/>
    <x v="175"/>
    <x v="13"/>
    <x v="0"/>
    <n v="2579.31"/>
    <n v="2867.36"/>
    <x v="0"/>
    <x v="14"/>
    <x v="1"/>
    <s v="Retail"/>
    <x v="19"/>
    <x v="175"/>
  </r>
  <r>
    <x v="27"/>
    <x v="120"/>
    <x v="1"/>
    <x v="2"/>
    <x v="176"/>
    <x v="7"/>
    <x v="0"/>
    <n v="2172.38"/>
    <n v="2367.11"/>
    <x v="1"/>
    <x v="28"/>
    <x v="0"/>
    <s v="Retail"/>
    <x v="2"/>
    <x v="176"/>
  </r>
  <r>
    <x v="64"/>
    <x v="121"/>
    <x v="0"/>
    <x v="2"/>
    <x v="177"/>
    <x v="13"/>
    <x v="3"/>
    <n v="316.22000000000003"/>
    <n v="799.04"/>
    <x v="1"/>
    <x v="11"/>
    <x v="1"/>
    <s v="Online"/>
    <x v="3"/>
    <x v="177"/>
  </r>
  <r>
    <x v="30"/>
    <x v="135"/>
    <x v="2"/>
    <x v="0"/>
    <x v="178"/>
    <x v="7"/>
    <x v="0"/>
    <n v="159.32"/>
    <n v="303.36"/>
    <x v="1"/>
    <x v="21"/>
    <x v="0"/>
    <s v="Retail"/>
    <x v="19"/>
    <x v="178"/>
  </r>
  <r>
    <x v="84"/>
    <x v="70"/>
    <x v="2"/>
    <x v="1"/>
    <x v="179"/>
    <x v="44"/>
    <x v="1"/>
    <n v="1821.91"/>
    <n v="2027.74"/>
    <x v="1"/>
    <x v="3"/>
    <x v="1"/>
    <s v="Retail"/>
    <x v="5"/>
    <x v="179"/>
  </r>
  <r>
    <x v="51"/>
    <x v="121"/>
    <x v="0"/>
    <x v="3"/>
    <x v="180"/>
    <x v="9"/>
    <x v="3"/>
    <n v="1701.62"/>
    <n v="2193.2199999999998"/>
    <x v="1"/>
    <x v="20"/>
    <x v="1"/>
    <s v="Retail"/>
    <x v="12"/>
    <x v="180"/>
  </r>
  <r>
    <x v="69"/>
    <x v="57"/>
    <x v="0"/>
    <x v="3"/>
    <x v="181"/>
    <x v="38"/>
    <x v="3"/>
    <n v="1969.09"/>
    <n v="2241.96"/>
    <x v="0"/>
    <x v="3"/>
    <x v="2"/>
    <s v="Online"/>
    <x v="12"/>
    <x v="181"/>
  </r>
  <r>
    <x v="69"/>
    <x v="50"/>
    <x v="4"/>
    <x v="3"/>
    <x v="182"/>
    <x v="47"/>
    <x v="1"/>
    <n v="734.92"/>
    <n v="991.21"/>
    <x v="0"/>
    <x v="5"/>
    <x v="2"/>
    <s v="Online"/>
    <x v="18"/>
    <x v="182"/>
  </r>
  <r>
    <x v="44"/>
    <x v="136"/>
    <x v="2"/>
    <x v="1"/>
    <x v="183"/>
    <x v="32"/>
    <x v="3"/>
    <n v="3703.93"/>
    <n v="3840.24"/>
    <x v="1"/>
    <x v="17"/>
    <x v="2"/>
    <s v="Online"/>
    <x v="5"/>
    <x v="183"/>
  </r>
  <r>
    <x v="42"/>
    <x v="46"/>
    <x v="3"/>
    <x v="0"/>
    <x v="184"/>
    <x v="37"/>
    <x v="0"/>
    <n v="4291.97"/>
    <n v="4645.6400000000003"/>
    <x v="0"/>
    <x v="16"/>
    <x v="2"/>
    <s v="Online"/>
    <x v="7"/>
    <x v="184"/>
  </r>
  <r>
    <x v="16"/>
    <x v="75"/>
    <x v="0"/>
    <x v="2"/>
    <x v="185"/>
    <x v="8"/>
    <x v="2"/>
    <n v="4696.6400000000003"/>
    <n v="4713.68"/>
    <x v="0"/>
    <x v="19"/>
    <x v="1"/>
    <s v="Online"/>
    <x v="3"/>
    <x v="185"/>
  </r>
  <r>
    <x v="30"/>
    <x v="25"/>
    <x v="0"/>
    <x v="0"/>
    <x v="186"/>
    <x v="10"/>
    <x v="1"/>
    <n v="2487.19"/>
    <n v="2521.4499999999998"/>
    <x v="1"/>
    <x v="12"/>
    <x v="0"/>
    <s v="Online"/>
    <x v="0"/>
    <x v="186"/>
  </r>
  <r>
    <x v="8"/>
    <x v="137"/>
    <x v="1"/>
    <x v="1"/>
    <x v="187"/>
    <x v="16"/>
    <x v="0"/>
    <n v="3519.29"/>
    <n v="3822.98"/>
    <x v="0"/>
    <x v="29"/>
    <x v="1"/>
    <s v="Online"/>
    <x v="13"/>
    <x v="187"/>
  </r>
  <r>
    <x v="28"/>
    <x v="30"/>
    <x v="3"/>
    <x v="2"/>
    <x v="188"/>
    <x v="20"/>
    <x v="1"/>
    <n v="4284.9799999999996"/>
    <n v="4462.3999999999996"/>
    <x v="1"/>
    <x v="24"/>
    <x v="2"/>
    <s v="Retail"/>
    <x v="6"/>
    <x v="188"/>
  </r>
  <r>
    <x v="23"/>
    <x v="138"/>
    <x v="3"/>
    <x v="1"/>
    <x v="189"/>
    <x v="18"/>
    <x v="1"/>
    <n v="2120.54"/>
    <n v="2597.67"/>
    <x v="0"/>
    <x v="16"/>
    <x v="2"/>
    <s v="Retail"/>
    <x v="8"/>
    <x v="189"/>
  </r>
  <r>
    <x v="30"/>
    <x v="9"/>
    <x v="0"/>
    <x v="3"/>
    <x v="190"/>
    <x v="41"/>
    <x v="3"/>
    <n v="1581.59"/>
    <n v="2034.1499999999901"/>
    <x v="0"/>
    <x v="5"/>
    <x v="0"/>
    <s v="Online"/>
    <x v="12"/>
    <x v="190"/>
  </r>
  <r>
    <x v="85"/>
    <x v="139"/>
    <x v="4"/>
    <x v="3"/>
    <x v="191"/>
    <x v="30"/>
    <x v="3"/>
    <n v="4686.79"/>
    <n v="5046.51"/>
    <x v="0"/>
    <x v="8"/>
    <x v="2"/>
    <s v="Retail"/>
    <x v="18"/>
    <x v="191"/>
  </r>
  <r>
    <x v="66"/>
    <x v="140"/>
    <x v="1"/>
    <x v="1"/>
    <x v="192"/>
    <x v="0"/>
    <x v="0"/>
    <n v="2602.6"/>
    <n v="3013.49"/>
    <x v="0"/>
    <x v="4"/>
    <x v="1"/>
    <s v="Online"/>
    <x v="13"/>
    <x v="192"/>
  </r>
  <r>
    <x v="75"/>
    <x v="83"/>
    <x v="3"/>
    <x v="2"/>
    <x v="193"/>
    <x v="9"/>
    <x v="1"/>
    <n v="2511.41"/>
    <n v="2848.3999999999901"/>
    <x v="0"/>
    <x v="18"/>
    <x v="1"/>
    <s v="Online"/>
    <x v="6"/>
    <x v="193"/>
  </r>
  <r>
    <x v="30"/>
    <x v="141"/>
    <x v="0"/>
    <x v="2"/>
    <x v="194"/>
    <x v="40"/>
    <x v="3"/>
    <n v="933.16"/>
    <n v="1004.69999999999"/>
    <x v="0"/>
    <x v="13"/>
    <x v="1"/>
    <s v="Online"/>
    <x v="3"/>
    <x v="194"/>
  </r>
  <r>
    <x v="77"/>
    <x v="142"/>
    <x v="3"/>
    <x v="0"/>
    <x v="195"/>
    <x v="22"/>
    <x v="3"/>
    <n v="585.37"/>
    <n v="970.49"/>
    <x v="0"/>
    <x v="25"/>
    <x v="1"/>
    <s v="Retail"/>
    <x v="7"/>
    <x v="195"/>
  </r>
  <r>
    <x v="12"/>
    <x v="124"/>
    <x v="1"/>
    <x v="3"/>
    <x v="196"/>
    <x v="33"/>
    <x v="1"/>
    <n v="4218.43"/>
    <n v="4331.42"/>
    <x v="1"/>
    <x v="16"/>
    <x v="1"/>
    <s v="Online"/>
    <x v="16"/>
    <x v="196"/>
  </r>
  <r>
    <x v="86"/>
    <x v="128"/>
    <x v="1"/>
    <x v="0"/>
    <x v="197"/>
    <x v="11"/>
    <x v="0"/>
    <n v="3089.96"/>
    <n v="3258.45"/>
    <x v="1"/>
    <x v="12"/>
    <x v="0"/>
    <s v="Online"/>
    <x v="11"/>
    <x v="197"/>
  </r>
  <r>
    <x v="3"/>
    <x v="143"/>
    <x v="2"/>
    <x v="0"/>
    <x v="198"/>
    <x v="18"/>
    <x v="0"/>
    <n v="1662.83"/>
    <n v="2074.25"/>
    <x v="1"/>
    <x v="7"/>
    <x v="1"/>
    <s v="Online"/>
    <x v="19"/>
    <x v="198"/>
  </r>
  <r>
    <x v="75"/>
    <x v="61"/>
    <x v="0"/>
    <x v="1"/>
    <x v="199"/>
    <x v="45"/>
    <x v="1"/>
    <n v="999.09"/>
    <n v="1271.99"/>
    <x v="1"/>
    <x v="25"/>
    <x v="2"/>
    <s v="Online"/>
    <x v="1"/>
    <x v="199"/>
  </r>
  <r>
    <x v="40"/>
    <x v="39"/>
    <x v="1"/>
    <x v="1"/>
    <x v="200"/>
    <x v="11"/>
    <x v="0"/>
    <n v="2799.71"/>
    <n v="3231.08"/>
    <x v="0"/>
    <x v="12"/>
    <x v="2"/>
    <s v="Retail"/>
    <x v="13"/>
    <x v="200"/>
  </r>
  <r>
    <x v="30"/>
    <x v="144"/>
    <x v="2"/>
    <x v="0"/>
    <x v="201"/>
    <x v="15"/>
    <x v="3"/>
    <n v="2940.4"/>
    <n v="3054.79"/>
    <x v="0"/>
    <x v="4"/>
    <x v="2"/>
    <s v="Online"/>
    <x v="19"/>
    <x v="201"/>
  </r>
  <r>
    <x v="72"/>
    <x v="112"/>
    <x v="2"/>
    <x v="3"/>
    <x v="202"/>
    <x v="44"/>
    <x v="1"/>
    <n v="1074.6199999999999"/>
    <n v="1382.4299999999901"/>
    <x v="0"/>
    <x v="19"/>
    <x v="2"/>
    <s v="Retail"/>
    <x v="4"/>
    <x v="202"/>
  </r>
  <r>
    <x v="85"/>
    <x v="131"/>
    <x v="3"/>
    <x v="1"/>
    <x v="203"/>
    <x v="37"/>
    <x v="3"/>
    <n v="4264.46"/>
    <n v="4315.5200000000004"/>
    <x v="1"/>
    <x v="17"/>
    <x v="0"/>
    <s v="Retail"/>
    <x v="8"/>
    <x v="203"/>
  </r>
  <r>
    <x v="32"/>
    <x v="145"/>
    <x v="3"/>
    <x v="0"/>
    <x v="204"/>
    <x v="29"/>
    <x v="2"/>
    <n v="467.11"/>
    <n v="792.21"/>
    <x v="1"/>
    <x v="2"/>
    <x v="2"/>
    <s v="Online"/>
    <x v="7"/>
    <x v="204"/>
  </r>
  <r>
    <x v="44"/>
    <x v="146"/>
    <x v="2"/>
    <x v="0"/>
    <x v="205"/>
    <x v="23"/>
    <x v="2"/>
    <n v="1812.66"/>
    <n v="2196.3000000000002"/>
    <x v="1"/>
    <x v="4"/>
    <x v="0"/>
    <s v="Online"/>
    <x v="19"/>
    <x v="205"/>
  </r>
  <r>
    <x v="11"/>
    <x v="147"/>
    <x v="3"/>
    <x v="0"/>
    <x v="206"/>
    <x v="47"/>
    <x v="0"/>
    <n v="3417.9"/>
    <n v="3714.52"/>
    <x v="0"/>
    <x v="29"/>
    <x v="2"/>
    <s v="Retail"/>
    <x v="7"/>
    <x v="206"/>
  </r>
  <r>
    <x v="76"/>
    <x v="148"/>
    <x v="1"/>
    <x v="0"/>
    <x v="207"/>
    <x v="27"/>
    <x v="2"/>
    <n v="1406.9"/>
    <n v="1547.35"/>
    <x v="1"/>
    <x v="22"/>
    <x v="0"/>
    <s v="Retail"/>
    <x v="11"/>
    <x v="207"/>
  </r>
  <r>
    <x v="26"/>
    <x v="149"/>
    <x v="4"/>
    <x v="0"/>
    <x v="208"/>
    <x v="35"/>
    <x v="3"/>
    <n v="4146.99"/>
    <n v="4172.3499999999904"/>
    <x v="0"/>
    <x v="18"/>
    <x v="0"/>
    <s v="Retail"/>
    <x v="15"/>
    <x v="208"/>
  </r>
  <r>
    <x v="82"/>
    <x v="106"/>
    <x v="1"/>
    <x v="0"/>
    <x v="209"/>
    <x v="27"/>
    <x v="2"/>
    <n v="3712.35"/>
    <n v="3780.88"/>
    <x v="1"/>
    <x v="17"/>
    <x v="0"/>
    <s v="Retail"/>
    <x v="11"/>
    <x v="209"/>
  </r>
  <r>
    <x v="78"/>
    <x v="150"/>
    <x v="2"/>
    <x v="1"/>
    <x v="210"/>
    <x v="34"/>
    <x v="3"/>
    <n v="3955.66"/>
    <n v="4270.59"/>
    <x v="0"/>
    <x v="25"/>
    <x v="2"/>
    <s v="Online"/>
    <x v="5"/>
    <x v="210"/>
  </r>
  <r>
    <x v="9"/>
    <x v="1"/>
    <x v="2"/>
    <x v="3"/>
    <x v="211"/>
    <x v="6"/>
    <x v="0"/>
    <n v="639.58000000000004"/>
    <n v="1107.45"/>
    <x v="1"/>
    <x v="12"/>
    <x v="0"/>
    <s v="Retail"/>
    <x v="4"/>
    <x v="211"/>
  </r>
  <r>
    <x v="0"/>
    <x v="106"/>
    <x v="1"/>
    <x v="0"/>
    <x v="212"/>
    <x v="47"/>
    <x v="0"/>
    <n v="745.71"/>
    <n v="856.91"/>
    <x v="0"/>
    <x v="10"/>
    <x v="1"/>
    <s v="Retail"/>
    <x v="11"/>
    <x v="212"/>
  </r>
  <r>
    <x v="30"/>
    <x v="94"/>
    <x v="3"/>
    <x v="2"/>
    <x v="213"/>
    <x v="14"/>
    <x v="3"/>
    <n v="1468.05"/>
    <n v="1838.21"/>
    <x v="1"/>
    <x v="25"/>
    <x v="1"/>
    <s v="Retail"/>
    <x v="6"/>
    <x v="213"/>
  </r>
  <r>
    <x v="22"/>
    <x v="151"/>
    <x v="3"/>
    <x v="1"/>
    <x v="214"/>
    <x v="10"/>
    <x v="2"/>
    <n v="2614.48"/>
    <n v="3049.04"/>
    <x v="1"/>
    <x v="15"/>
    <x v="2"/>
    <s v="Retail"/>
    <x v="8"/>
    <x v="214"/>
  </r>
  <r>
    <x v="0"/>
    <x v="64"/>
    <x v="2"/>
    <x v="1"/>
    <x v="215"/>
    <x v="39"/>
    <x v="0"/>
    <n v="3752.68"/>
    <n v="4017.91"/>
    <x v="0"/>
    <x v="28"/>
    <x v="1"/>
    <s v="Online"/>
    <x v="5"/>
    <x v="215"/>
  </r>
  <r>
    <x v="70"/>
    <x v="50"/>
    <x v="0"/>
    <x v="0"/>
    <x v="216"/>
    <x v="21"/>
    <x v="1"/>
    <n v="4190.83"/>
    <n v="4528.7699999999904"/>
    <x v="0"/>
    <x v="20"/>
    <x v="1"/>
    <s v="Online"/>
    <x v="0"/>
    <x v="216"/>
  </r>
  <r>
    <x v="36"/>
    <x v="48"/>
    <x v="3"/>
    <x v="1"/>
    <x v="217"/>
    <x v="11"/>
    <x v="0"/>
    <n v="3536.46"/>
    <n v="3945.82"/>
    <x v="1"/>
    <x v="19"/>
    <x v="1"/>
    <s v="Online"/>
    <x v="8"/>
    <x v="217"/>
  </r>
  <r>
    <x v="15"/>
    <x v="62"/>
    <x v="1"/>
    <x v="0"/>
    <x v="218"/>
    <x v="2"/>
    <x v="2"/>
    <n v="4646.55"/>
    <n v="4784.28"/>
    <x v="0"/>
    <x v="15"/>
    <x v="2"/>
    <s v="Retail"/>
    <x v="11"/>
    <x v="218"/>
  </r>
  <r>
    <x v="12"/>
    <x v="90"/>
    <x v="3"/>
    <x v="3"/>
    <x v="219"/>
    <x v="23"/>
    <x v="1"/>
    <n v="3706.78"/>
    <n v="3862.26"/>
    <x v="1"/>
    <x v="20"/>
    <x v="2"/>
    <s v="Retail"/>
    <x v="14"/>
    <x v="219"/>
  </r>
  <r>
    <x v="87"/>
    <x v="152"/>
    <x v="1"/>
    <x v="3"/>
    <x v="220"/>
    <x v="40"/>
    <x v="2"/>
    <n v="1566.03"/>
    <n v="1576.34"/>
    <x v="0"/>
    <x v="2"/>
    <x v="1"/>
    <s v="Online"/>
    <x v="16"/>
    <x v="220"/>
  </r>
  <r>
    <x v="48"/>
    <x v="153"/>
    <x v="2"/>
    <x v="1"/>
    <x v="221"/>
    <x v="16"/>
    <x v="3"/>
    <n v="1362.15"/>
    <n v="1844.07"/>
    <x v="1"/>
    <x v="12"/>
    <x v="2"/>
    <s v="Online"/>
    <x v="5"/>
    <x v="221"/>
  </r>
  <r>
    <x v="26"/>
    <x v="154"/>
    <x v="3"/>
    <x v="1"/>
    <x v="222"/>
    <x v="26"/>
    <x v="1"/>
    <n v="3496.15"/>
    <n v="3955.75"/>
    <x v="0"/>
    <x v="24"/>
    <x v="0"/>
    <s v="Retail"/>
    <x v="8"/>
    <x v="222"/>
  </r>
  <r>
    <x v="15"/>
    <x v="155"/>
    <x v="1"/>
    <x v="2"/>
    <x v="223"/>
    <x v="3"/>
    <x v="2"/>
    <n v="1004.71"/>
    <n v="1389.35"/>
    <x v="1"/>
    <x v="19"/>
    <x v="1"/>
    <s v="Online"/>
    <x v="2"/>
    <x v="223"/>
  </r>
  <r>
    <x v="15"/>
    <x v="156"/>
    <x v="2"/>
    <x v="1"/>
    <x v="224"/>
    <x v="42"/>
    <x v="1"/>
    <n v="508.94"/>
    <n v="557.69000000000005"/>
    <x v="1"/>
    <x v="20"/>
    <x v="2"/>
    <s v="Retail"/>
    <x v="5"/>
    <x v="224"/>
  </r>
  <r>
    <x v="28"/>
    <x v="157"/>
    <x v="0"/>
    <x v="2"/>
    <x v="225"/>
    <x v="4"/>
    <x v="2"/>
    <n v="2684.5"/>
    <n v="2913.78"/>
    <x v="1"/>
    <x v="4"/>
    <x v="2"/>
    <s v="Retail"/>
    <x v="3"/>
    <x v="225"/>
  </r>
  <r>
    <x v="52"/>
    <x v="87"/>
    <x v="1"/>
    <x v="3"/>
    <x v="226"/>
    <x v="29"/>
    <x v="1"/>
    <n v="4117.13"/>
    <n v="4177.0600000000004"/>
    <x v="0"/>
    <x v="26"/>
    <x v="1"/>
    <s v="Retail"/>
    <x v="16"/>
    <x v="226"/>
  </r>
  <r>
    <x v="7"/>
    <x v="158"/>
    <x v="0"/>
    <x v="3"/>
    <x v="227"/>
    <x v="40"/>
    <x v="2"/>
    <n v="551.83000000000004"/>
    <n v="569.63"/>
    <x v="1"/>
    <x v="9"/>
    <x v="2"/>
    <s v="Retail"/>
    <x v="12"/>
    <x v="227"/>
  </r>
  <r>
    <x v="78"/>
    <x v="159"/>
    <x v="0"/>
    <x v="0"/>
    <x v="228"/>
    <x v="2"/>
    <x v="3"/>
    <n v="3969.86"/>
    <n v="4281.79"/>
    <x v="0"/>
    <x v="4"/>
    <x v="1"/>
    <s v="Retail"/>
    <x v="0"/>
    <x v="228"/>
  </r>
  <r>
    <x v="85"/>
    <x v="91"/>
    <x v="4"/>
    <x v="3"/>
    <x v="229"/>
    <x v="14"/>
    <x v="1"/>
    <n v="4067.28"/>
    <n v="4548.09"/>
    <x v="0"/>
    <x v="7"/>
    <x v="2"/>
    <s v="Retail"/>
    <x v="18"/>
    <x v="229"/>
  </r>
  <r>
    <x v="66"/>
    <x v="160"/>
    <x v="3"/>
    <x v="2"/>
    <x v="230"/>
    <x v="3"/>
    <x v="1"/>
    <n v="2437.2600000000002"/>
    <n v="2889.67"/>
    <x v="0"/>
    <x v="26"/>
    <x v="0"/>
    <s v="Online"/>
    <x v="6"/>
    <x v="230"/>
  </r>
  <r>
    <x v="88"/>
    <x v="146"/>
    <x v="1"/>
    <x v="1"/>
    <x v="231"/>
    <x v="17"/>
    <x v="1"/>
    <n v="333.69"/>
    <n v="685.1"/>
    <x v="1"/>
    <x v="14"/>
    <x v="1"/>
    <s v="Online"/>
    <x v="13"/>
    <x v="231"/>
  </r>
  <r>
    <x v="15"/>
    <x v="6"/>
    <x v="0"/>
    <x v="0"/>
    <x v="232"/>
    <x v="9"/>
    <x v="1"/>
    <n v="914.22"/>
    <n v="971.57"/>
    <x v="0"/>
    <x v="6"/>
    <x v="0"/>
    <s v="Online"/>
    <x v="0"/>
    <x v="232"/>
  </r>
  <r>
    <x v="14"/>
    <x v="145"/>
    <x v="4"/>
    <x v="2"/>
    <x v="233"/>
    <x v="20"/>
    <x v="3"/>
    <n v="3551.76"/>
    <n v="3696.1"/>
    <x v="0"/>
    <x v="25"/>
    <x v="1"/>
    <s v="Retail"/>
    <x v="9"/>
    <x v="233"/>
  </r>
  <r>
    <x v="44"/>
    <x v="161"/>
    <x v="2"/>
    <x v="1"/>
    <x v="234"/>
    <x v="24"/>
    <x v="1"/>
    <n v="3573.3"/>
    <n v="3740.13"/>
    <x v="0"/>
    <x v="30"/>
    <x v="2"/>
    <s v="Online"/>
    <x v="5"/>
    <x v="234"/>
  </r>
  <r>
    <x v="41"/>
    <x v="162"/>
    <x v="1"/>
    <x v="0"/>
    <x v="235"/>
    <x v="17"/>
    <x v="0"/>
    <n v="4496.8599999999997"/>
    <n v="4880.7999999999902"/>
    <x v="1"/>
    <x v="18"/>
    <x v="0"/>
    <s v="Retail"/>
    <x v="11"/>
    <x v="235"/>
  </r>
  <r>
    <x v="82"/>
    <x v="163"/>
    <x v="0"/>
    <x v="3"/>
    <x v="236"/>
    <x v="44"/>
    <x v="3"/>
    <n v="2934.3"/>
    <n v="3337.4"/>
    <x v="0"/>
    <x v="26"/>
    <x v="2"/>
    <s v="Retail"/>
    <x v="12"/>
    <x v="236"/>
  </r>
  <r>
    <x v="86"/>
    <x v="58"/>
    <x v="3"/>
    <x v="2"/>
    <x v="237"/>
    <x v="26"/>
    <x v="0"/>
    <n v="664.33"/>
    <n v="863.03"/>
    <x v="0"/>
    <x v="26"/>
    <x v="1"/>
    <s v="Retail"/>
    <x v="6"/>
    <x v="237"/>
  </r>
  <r>
    <x v="82"/>
    <x v="78"/>
    <x v="4"/>
    <x v="1"/>
    <x v="238"/>
    <x v="21"/>
    <x v="1"/>
    <n v="651"/>
    <n v="865.76"/>
    <x v="0"/>
    <x v="0"/>
    <x v="1"/>
    <s v="Retail"/>
    <x v="17"/>
    <x v="238"/>
  </r>
  <r>
    <x v="89"/>
    <x v="164"/>
    <x v="0"/>
    <x v="0"/>
    <x v="239"/>
    <x v="33"/>
    <x v="2"/>
    <n v="3619.61"/>
    <n v="3651.42"/>
    <x v="0"/>
    <x v="16"/>
    <x v="1"/>
    <s v="Online"/>
    <x v="0"/>
    <x v="239"/>
  </r>
  <r>
    <x v="33"/>
    <x v="165"/>
    <x v="3"/>
    <x v="0"/>
    <x v="240"/>
    <x v="11"/>
    <x v="0"/>
    <n v="959.73"/>
    <n v="1111.4100000000001"/>
    <x v="1"/>
    <x v="10"/>
    <x v="1"/>
    <s v="Online"/>
    <x v="7"/>
    <x v="240"/>
  </r>
  <r>
    <x v="8"/>
    <x v="117"/>
    <x v="0"/>
    <x v="3"/>
    <x v="241"/>
    <x v="35"/>
    <x v="1"/>
    <n v="1675.51"/>
    <n v="1906.6399999999901"/>
    <x v="1"/>
    <x v="9"/>
    <x v="1"/>
    <s v="Online"/>
    <x v="12"/>
    <x v="241"/>
  </r>
  <r>
    <x v="87"/>
    <x v="28"/>
    <x v="1"/>
    <x v="1"/>
    <x v="242"/>
    <x v="20"/>
    <x v="0"/>
    <n v="2461.6999999999998"/>
    <n v="2529.02"/>
    <x v="0"/>
    <x v="20"/>
    <x v="0"/>
    <s v="Retail"/>
    <x v="13"/>
    <x v="242"/>
  </r>
  <r>
    <x v="90"/>
    <x v="166"/>
    <x v="1"/>
    <x v="3"/>
    <x v="243"/>
    <x v="21"/>
    <x v="1"/>
    <n v="172.59"/>
    <n v="404.69"/>
    <x v="0"/>
    <x v="12"/>
    <x v="1"/>
    <s v="Online"/>
    <x v="16"/>
    <x v="243"/>
  </r>
  <r>
    <x v="17"/>
    <x v="163"/>
    <x v="1"/>
    <x v="3"/>
    <x v="244"/>
    <x v="21"/>
    <x v="1"/>
    <n v="1281.6500000000001"/>
    <n v="1709.71"/>
    <x v="0"/>
    <x v="6"/>
    <x v="2"/>
    <s v="Online"/>
    <x v="16"/>
    <x v="244"/>
  </r>
  <r>
    <x v="11"/>
    <x v="167"/>
    <x v="4"/>
    <x v="1"/>
    <x v="245"/>
    <x v="31"/>
    <x v="1"/>
    <n v="2069.0500000000002"/>
    <n v="2363.9"/>
    <x v="0"/>
    <x v="17"/>
    <x v="0"/>
    <s v="Online"/>
    <x v="17"/>
    <x v="245"/>
  </r>
  <r>
    <x v="91"/>
    <x v="168"/>
    <x v="1"/>
    <x v="1"/>
    <x v="246"/>
    <x v="31"/>
    <x v="2"/>
    <n v="1434.2"/>
    <n v="1482.88"/>
    <x v="1"/>
    <x v="24"/>
    <x v="2"/>
    <s v="Retail"/>
    <x v="13"/>
    <x v="246"/>
  </r>
  <r>
    <x v="92"/>
    <x v="96"/>
    <x v="3"/>
    <x v="1"/>
    <x v="247"/>
    <x v="9"/>
    <x v="0"/>
    <n v="725.03"/>
    <n v="828.94999999999902"/>
    <x v="1"/>
    <x v="13"/>
    <x v="1"/>
    <s v="Online"/>
    <x v="8"/>
    <x v="247"/>
  </r>
  <r>
    <x v="86"/>
    <x v="113"/>
    <x v="0"/>
    <x v="2"/>
    <x v="248"/>
    <x v="13"/>
    <x v="3"/>
    <n v="3653.66"/>
    <n v="3896.19"/>
    <x v="1"/>
    <x v="21"/>
    <x v="2"/>
    <s v="Retail"/>
    <x v="3"/>
    <x v="248"/>
  </r>
  <r>
    <x v="74"/>
    <x v="169"/>
    <x v="2"/>
    <x v="1"/>
    <x v="249"/>
    <x v="1"/>
    <x v="3"/>
    <n v="4075.08"/>
    <n v="4262.21"/>
    <x v="1"/>
    <x v="22"/>
    <x v="0"/>
    <s v="Online"/>
    <x v="5"/>
    <x v="249"/>
  </r>
  <r>
    <x v="67"/>
    <x v="170"/>
    <x v="3"/>
    <x v="0"/>
    <x v="250"/>
    <x v="33"/>
    <x v="3"/>
    <n v="1324.52"/>
    <n v="1510.3"/>
    <x v="0"/>
    <x v="25"/>
    <x v="0"/>
    <s v="Retail"/>
    <x v="7"/>
    <x v="250"/>
  </r>
  <r>
    <x v="93"/>
    <x v="59"/>
    <x v="3"/>
    <x v="3"/>
    <x v="251"/>
    <x v="34"/>
    <x v="3"/>
    <n v="3883.38"/>
    <n v="4152.72"/>
    <x v="0"/>
    <x v="16"/>
    <x v="0"/>
    <s v="Online"/>
    <x v="14"/>
    <x v="251"/>
  </r>
  <r>
    <x v="85"/>
    <x v="37"/>
    <x v="1"/>
    <x v="2"/>
    <x v="252"/>
    <x v="22"/>
    <x v="1"/>
    <n v="1958.49"/>
    <n v="2254.84"/>
    <x v="1"/>
    <x v="28"/>
    <x v="2"/>
    <s v="Online"/>
    <x v="2"/>
    <x v="252"/>
  </r>
  <r>
    <x v="35"/>
    <x v="129"/>
    <x v="4"/>
    <x v="1"/>
    <x v="253"/>
    <x v="27"/>
    <x v="0"/>
    <n v="2558.09"/>
    <n v="2958.55"/>
    <x v="1"/>
    <x v="4"/>
    <x v="0"/>
    <s v="Online"/>
    <x v="17"/>
    <x v="253"/>
  </r>
  <r>
    <x v="26"/>
    <x v="150"/>
    <x v="0"/>
    <x v="2"/>
    <x v="254"/>
    <x v="25"/>
    <x v="0"/>
    <n v="4287.21"/>
    <n v="4464.28"/>
    <x v="0"/>
    <x v="2"/>
    <x v="2"/>
    <s v="Retail"/>
    <x v="3"/>
    <x v="254"/>
  </r>
  <r>
    <x v="86"/>
    <x v="171"/>
    <x v="4"/>
    <x v="1"/>
    <x v="255"/>
    <x v="29"/>
    <x v="2"/>
    <n v="3762.27"/>
    <n v="4166.95"/>
    <x v="0"/>
    <x v="28"/>
    <x v="1"/>
    <s v="Online"/>
    <x v="17"/>
    <x v="255"/>
  </r>
  <r>
    <x v="29"/>
    <x v="172"/>
    <x v="0"/>
    <x v="2"/>
    <x v="256"/>
    <x v="20"/>
    <x v="0"/>
    <n v="4035.33"/>
    <n v="4211.25"/>
    <x v="0"/>
    <x v="17"/>
    <x v="1"/>
    <s v="Online"/>
    <x v="3"/>
    <x v="256"/>
  </r>
  <r>
    <x v="1"/>
    <x v="173"/>
    <x v="0"/>
    <x v="3"/>
    <x v="257"/>
    <x v="1"/>
    <x v="0"/>
    <n v="727.38"/>
    <n v="764.54"/>
    <x v="0"/>
    <x v="22"/>
    <x v="2"/>
    <s v="Retail"/>
    <x v="12"/>
    <x v="257"/>
  </r>
  <r>
    <x v="12"/>
    <x v="174"/>
    <x v="4"/>
    <x v="3"/>
    <x v="258"/>
    <x v="1"/>
    <x v="0"/>
    <n v="395.11"/>
    <n v="676.66"/>
    <x v="0"/>
    <x v="26"/>
    <x v="0"/>
    <s v="Retail"/>
    <x v="18"/>
    <x v="258"/>
  </r>
  <r>
    <x v="94"/>
    <x v="175"/>
    <x v="3"/>
    <x v="0"/>
    <x v="259"/>
    <x v="42"/>
    <x v="2"/>
    <n v="4472.3500000000004"/>
    <n v="4770.42"/>
    <x v="1"/>
    <x v="30"/>
    <x v="2"/>
    <s v="Retail"/>
    <x v="7"/>
    <x v="259"/>
  </r>
  <r>
    <x v="26"/>
    <x v="109"/>
    <x v="0"/>
    <x v="0"/>
    <x v="260"/>
    <x v="4"/>
    <x v="3"/>
    <n v="1969.78"/>
    <n v="2437.6999999999998"/>
    <x v="1"/>
    <x v="27"/>
    <x v="2"/>
    <s v="Retail"/>
    <x v="0"/>
    <x v="260"/>
  </r>
  <r>
    <x v="49"/>
    <x v="162"/>
    <x v="4"/>
    <x v="1"/>
    <x v="261"/>
    <x v="1"/>
    <x v="0"/>
    <n v="1475"/>
    <n v="1840.77"/>
    <x v="0"/>
    <x v="15"/>
    <x v="2"/>
    <s v="Online"/>
    <x v="17"/>
    <x v="261"/>
  </r>
  <r>
    <x v="88"/>
    <x v="26"/>
    <x v="0"/>
    <x v="3"/>
    <x v="262"/>
    <x v="34"/>
    <x v="2"/>
    <n v="3637.25"/>
    <n v="4096.96"/>
    <x v="0"/>
    <x v="0"/>
    <x v="1"/>
    <s v="Online"/>
    <x v="12"/>
    <x v="262"/>
  </r>
  <r>
    <x v="41"/>
    <x v="170"/>
    <x v="2"/>
    <x v="2"/>
    <x v="263"/>
    <x v="1"/>
    <x v="2"/>
    <n v="4190.26"/>
    <n v="4645.3500000000004"/>
    <x v="1"/>
    <x v="7"/>
    <x v="2"/>
    <s v="Retail"/>
    <x v="10"/>
    <x v="263"/>
  </r>
  <r>
    <x v="95"/>
    <x v="8"/>
    <x v="3"/>
    <x v="2"/>
    <x v="264"/>
    <x v="10"/>
    <x v="1"/>
    <n v="4319.32"/>
    <n v="4625.5599999999904"/>
    <x v="0"/>
    <x v="15"/>
    <x v="1"/>
    <s v="Online"/>
    <x v="6"/>
    <x v="264"/>
  </r>
  <r>
    <x v="88"/>
    <x v="18"/>
    <x v="1"/>
    <x v="2"/>
    <x v="265"/>
    <x v="28"/>
    <x v="2"/>
    <n v="1614.19"/>
    <n v="1882.79"/>
    <x v="1"/>
    <x v="26"/>
    <x v="2"/>
    <s v="Retail"/>
    <x v="2"/>
    <x v="265"/>
  </r>
  <r>
    <x v="94"/>
    <x v="176"/>
    <x v="0"/>
    <x v="0"/>
    <x v="266"/>
    <x v="27"/>
    <x v="3"/>
    <n v="4268.45"/>
    <n v="4551.5999999999904"/>
    <x v="1"/>
    <x v="4"/>
    <x v="1"/>
    <s v="Online"/>
    <x v="0"/>
    <x v="266"/>
  </r>
  <r>
    <x v="78"/>
    <x v="67"/>
    <x v="2"/>
    <x v="2"/>
    <x v="267"/>
    <x v="32"/>
    <x v="0"/>
    <n v="252.62"/>
    <n v="742"/>
    <x v="1"/>
    <x v="20"/>
    <x v="2"/>
    <s v="Retail"/>
    <x v="10"/>
    <x v="267"/>
  </r>
  <r>
    <x v="43"/>
    <x v="177"/>
    <x v="1"/>
    <x v="0"/>
    <x v="268"/>
    <x v="22"/>
    <x v="2"/>
    <n v="295.82"/>
    <n v="684.67"/>
    <x v="1"/>
    <x v="21"/>
    <x v="2"/>
    <s v="Online"/>
    <x v="11"/>
    <x v="268"/>
  </r>
  <r>
    <x v="0"/>
    <x v="178"/>
    <x v="1"/>
    <x v="0"/>
    <x v="269"/>
    <x v="7"/>
    <x v="3"/>
    <n v="3136.42"/>
    <n v="3198.49"/>
    <x v="0"/>
    <x v="12"/>
    <x v="0"/>
    <s v="Retail"/>
    <x v="11"/>
    <x v="269"/>
  </r>
  <r>
    <x v="20"/>
    <x v="113"/>
    <x v="0"/>
    <x v="1"/>
    <x v="270"/>
    <x v="28"/>
    <x v="2"/>
    <n v="362.38"/>
    <n v="753.81"/>
    <x v="0"/>
    <x v="27"/>
    <x v="0"/>
    <s v="Retail"/>
    <x v="1"/>
    <x v="270"/>
  </r>
  <r>
    <x v="58"/>
    <x v="16"/>
    <x v="4"/>
    <x v="2"/>
    <x v="271"/>
    <x v="20"/>
    <x v="2"/>
    <n v="1656.82"/>
    <n v="1750.3799999999901"/>
    <x v="1"/>
    <x v="5"/>
    <x v="2"/>
    <s v="Online"/>
    <x v="9"/>
    <x v="271"/>
  </r>
  <r>
    <x v="36"/>
    <x v="168"/>
    <x v="0"/>
    <x v="2"/>
    <x v="272"/>
    <x v="29"/>
    <x v="2"/>
    <n v="3380.14"/>
    <n v="3609.3399999999901"/>
    <x v="0"/>
    <x v="0"/>
    <x v="2"/>
    <s v="Online"/>
    <x v="3"/>
    <x v="272"/>
  </r>
  <r>
    <x v="60"/>
    <x v="179"/>
    <x v="2"/>
    <x v="3"/>
    <x v="273"/>
    <x v="13"/>
    <x v="2"/>
    <n v="1719.47"/>
    <n v="1832.6"/>
    <x v="0"/>
    <x v="7"/>
    <x v="2"/>
    <s v="Online"/>
    <x v="4"/>
    <x v="273"/>
  </r>
  <r>
    <x v="66"/>
    <x v="180"/>
    <x v="1"/>
    <x v="1"/>
    <x v="274"/>
    <x v="30"/>
    <x v="2"/>
    <n v="939.02"/>
    <n v="1286.92"/>
    <x v="0"/>
    <x v="17"/>
    <x v="2"/>
    <s v="Retail"/>
    <x v="13"/>
    <x v="274"/>
  </r>
  <r>
    <x v="67"/>
    <x v="181"/>
    <x v="0"/>
    <x v="3"/>
    <x v="275"/>
    <x v="4"/>
    <x v="3"/>
    <n v="1442.69"/>
    <n v="1882.57"/>
    <x v="0"/>
    <x v="24"/>
    <x v="0"/>
    <s v="Online"/>
    <x v="12"/>
    <x v="275"/>
  </r>
  <r>
    <x v="28"/>
    <x v="76"/>
    <x v="4"/>
    <x v="1"/>
    <x v="276"/>
    <x v="37"/>
    <x v="0"/>
    <n v="2315"/>
    <n v="2467.2800000000002"/>
    <x v="1"/>
    <x v="25"/>
    <x v="1"/>
    <s v="Retail"/>
    <x v="17"/>
    <x v="276"/>
  </r>
  <r>
    <x v="84"/>
    <x v="92"/>
    <x v="0"/>
    <x v="2"/>
    <x v="277"/>
    <x v="17"/>
    <x v="0"/>
    <n v="2403.16"/>
    <n v="2453.35"/>
    <x v="0"/>
    <x v="27"/>
    <x v="2"/>
    <s v="Online"/>
    <x v="3"/>
    <x v="277"/>
  </r>
  <r>
    <x v="23"/>
    <x v="177"/>
    <x v="3"/>
    <x v="0"/>
    <x v="278"/>
    <x v="22"/>
    <x v="0"/>
    <n v="3925.85"/>
    <n v="4082.1099999999901"/>
    <x v="1"/>
    <x v="20"/>
    <x v="0"/>
    <s v="Online"/>
    <x v="7"/>
    <x v="278"/>
  </r>
  <r>
    <x v="50"/>
    <x v="141"/>
    <x v="4"/>
    <x v="0"/>
    <x v="279"/>
    <x v="32"/>
    <x v="0"/>
    <n v="3763.26"/>
    <n v="4102.72"/>
    <x v="1"/>
    <x v="1"/>
    <x v="2"/>
    <s v="Retail"/>
    <x v="15"/>
    <x v="279"/>
  </r>
  <r>
    <x v="71"/>
    <x v="40"/>
    <x v="2"/>
    <x v="0"/>
    <x v="280"/>
    <x v="47"/>
    <x v="3"/>
    <n v="2311.25"/>
    <n v="2482.34"/>
    <x v="0"/>
    <x v="20"/>
    <x v="2"/>
    <s v="Retail"/>
    <x v="19"/>
    <x v="280"/>
  </r>
  <r>
    <x v="96"/>
    <x v="182"/>
    <x v="1"/>
    <x v="0"/>
    <x v="281"/>
    <x v="33"/>
    <x v="1"/>
    <n v="4236.05"/>
    <n v="4382.32"/>
    <x v="1"/>
    <x v="2"/>
    <x v="1"/>
    <s v="Online"/>
    <x v="11"/>
    <x v="281"/>
  </r>
  <r>
    <x v="79"/>
    <x v="113"/>
    <x v="0"/>
    <x v="0"/>
    <x v="282"/>
    <x v="37"/>
    <x v="1"/>
    <n v="615.47"/>
    <n v="715.84"/>
    <x v="0"/>
    <x v="5"/>
    <x v="2"/>
    <s v="Retail"/>
    <x v="0"/>
    <x v="282"/>
  </r>
  <r>
    <x v="27"/>
    <x v="183"/>
    <x v="4"/>
    <x v="3"/>
    <x v="283"/>
    <x v="18"/>
    <x v="3"/>
    <n v="1314"/>
    <n v="1567.78"/>
    <x v="0"/>
    <x v="25"/>
    <x v="2"/>
    <s v="Retail"/>
    <x v="18"/>
    <x v="283"/>
  </r>
  <r>
    <x v="73"/>
    <x v="143"/>
    <x v="3"/>
    <x v="1"/>
    <x v="284"/>
    <x v="44"/>
    <x v="3"/>
    <n v="4148.4799999999996"/>
    <n v="4293.6899999999996"/>
    <x v="1"/>
    <x v="1"/>
    <x v="1"/>
    <s v="Online"/>
    <x v="8"/>
    <x v="284"/>
  </r>
  <r>
    <x v="34"/>
    <x v="180"/>
    <x v="4"/>
    <x v="2"/>
    <x v="285"/>
    <x v="24"/>
    <x v="2"/>
    <n v="1921.07"/>
    <n v="2289.27"/>
    <x v="0"/>
    <x v="17"/>
    <x v="1"/>
    <s v="Retail"/>
    <x v="9"/>
    <x v="285"/>
  </r>
  <r>
    <x v="93"/>
    <x v="184"/>
    <x v="3"/>
    <x v="3"/>
    <x v="286"/>
    <x v="42"/>
    <x v="2"/>
    <n v="4906.8500000000004"/>
    <n v="4954.3900000000003"/>
    <x v="1"/>
    <x v="26"/>
    <x v="1"/>
    <s v="Online"/>
    <x v="14"/>
    <x v="286"/>
  </r>
  <r>
    <x v="41"/>
    <x v="160"/>
    <x v="2"/>
    <x v="1"/>
    <x v="287"/>
    <x v="20"/>
    <x v="2"/>
    <n v="2357.9499999999998"/>
    <n v="2693.33"/>
    <x v="1"/>
    <x v="13"/>
    <x v="1"/>
    <s v="Online"/>
    <x v="5"/>
    <x v="287"/>
  </r>
  <r>
    <x v="19"/>
    <x v="185"/>
    <x v="1"/>
    <x v="0"/>
    <x v="288"/>
    <x v="47"/>
    <x v="0"/>
    <n v="3970.08"/>
    <n v="4096.4799999999996"/>
    <x v="0"/>
    <x v="9"/>
    <x v="0"/>
    <s v="Retail"/>
    <x v="11"/>
    <x v="288"/>
  </r>
  <r>
    <x v="15"/>
    <x v="149"/>
    <x v="2"/>
    <x v="1"/>
    <x v="289"/>
    <x v="42"/>
    <x v="2"/>
    <n v="2041.42"/>
    <n v="2291.17"/>
    <x v="0"/>
    <x v="24"/>
    <x v="0"/>
    <s v="Online"/>
    <x v="5"/>
    <x v="289"/>
  </r>
  <r>
    <x v="66"/>
    <x v="186"/>
    <x v="0"/>
    <x v="1"/>
    <x v="290"/>
    <x v="46"/>
    <x v="1"/>
    <n v="2153.52"/>
    <n v="2303.6999999999998"/>
    <x v="0"/>
    <x v="30"/>
    <x v="0"/>
    <s v="Retail"/>
    <x v="1"/>
    <x v="290"/>
  </r>
  <r>
    <x v="57"/>
    <x v="187"/>
    <x v="4"/>
    <x v="0"/>
    <x v="291"/>
    <x v="32"/>
    <x v="0"/>
    <n v="1945.27"/>
    <n v="2309.4299999999998"/>
    <x v="1"/>
    <x v="16"/>
    <x v="2"/>
    <s v="Online"/>
    <x v="15"/>
    <x v="291"/>
  </r>
  <r>
    <x v="70"/>
    <x v="24"/>
    <x v="3"/>
    <x v="0"/>
    <x v="292"/>
    <x v="32"/>
    <x v="2"/>
    <n v="3609.42"/>
    <n v="4082.62"/>
    <x v="0"/>
    <x v="23"/>
    <x v="1"/>
    <s v="Retail"/>
    <x v="7"/>
    <x v="292"/>
  </r>
  <r>
    <x v="91"/>
    <x v="188"/>
    <x v="3"/>
    <x v="0"/>
    <x v="293"/>
    <x v="0"/>
    <x v="0"/>
    <n v="2760.21"/>
    <n v="3219.58"/>
    <x v="1"/>
    <x v="29"/>
    <x v="1"/>
    <s v="Retail"/>
    <x v="7"/>
    <x v="293"/>
  </r>
  <r>
    <x v="72"/>
    <x v="189"/>
    <x v="4"/>
    <x v="2"/>
    <x v="294"/>
    <x v="41"/>
    <x v="1"/>
    <n v="4721.7"/>
    <n v="5017.58"/>
    <x v="1"/>
    <x v="19"/>
    <x v="0"/>
    <s v="Retail"/>
    <x v="9"/>
    <x v="294"/>
  </r>
  <r>
    <x v="82"/>
    <x v="178"/>
    <x v="4"/>
    <x v="0"/>
    <x v="295"/>
    <x v="1"/>
    <x v="2"/>
    <n v="1291.9100000000001"/>
    <n v="1528.59"/>
    <x v="0"/>
    <x v="1"/>
    <x v="2"/>
    <s v="Retail"/>
    <x v="15"/>
    <x v="295"/>
  </r>
  <r>
    <x v="40"/>
    <x v="82"/>
    <x v="0"/>
    <x v="2"/>
    <x v="296"/>
    <x v="28"/>
    <x v="1"/>
    <n v="547.79"/>
    <n v="958.76"/>
    <x v="0"/>
    <x v="17"/>
    <x v="2"/>
    <s v="Retail"/>
    <x v="3"/>
    <x v="296"/>
  </r>
  <r>
    <x v="73"/>
    <x v="95"/>
    <x v="2"/>
    <x v="0"/>
    <x v="297"/>
    <x v="28"/>
    <x v="1"/>
    <n v="1996.64"/>
    <n v="2341.4699999999998"/>
    <x v="0"/>
    <x v="20"/>
    <x v="2"/>
    <s v="Online"/>
    <x v="19"/>
    <x v="297"/>
  </r>
  <r>
    <x v="88"/>
    <x v="190"/>
    <x v="3"/>
    <x v="2"/>
    <x v="298"/>
    <x v="4"/>
    <x v="1"/>
    <n v="3102.73"/>
    <n v="3202.68"/>
    <x v="1"/>
    <x v="0"/>
    <x v="0"/>
    <s v="Online"/>
    <x v="6"/>
    <x v="298"/>
  </r>
  <r>
    <x v="57"/>
    <x v="191"/>
    <x v="0"/>
    <x v="1"/>
    <x v="299"/>
    <x v="48"/>
    <x v="2"/>
    <n v="4310.95"/>
    <n v="4723.2"/>
    <x v="0"/>
    <x v="8"/>
    <x v="2"/>
    <s v="Retail"/>
    <x v="1"/>
    <x v="299"/>
  </r>
  <r>
    <x v="29"/>
    <x v="192"/>
    <x v="2"/>
    <x v="3"/>
    <x v="300"/>
    <x v="16"/>
    <x v="3"/>
    <n v="1763.67"/>
    <n v="1983.82"/>
    <x v="1"/>
    <x v="19"/>
    <x v="2"/>
    <s v="Online"/>
    <x v="4"/>
    <x v="300"/>
  </r>
  <r>
    <x v="12"/>
    <x v="160"/>
    <x v="0"/>
    <x v="1"/>
    <x v="301"/>
    <x v="13"/>
    <x v="2"/>
    <n v="3286.24"/>
    <n v="3388.8399999999901"/>
    <x v="0"/>
    <x v="0"/>
    <x v="2"/>
    <s v="Retail"/>
    <x v="1"/>
    <x v="301"/>
  </r>
  <r>
    <x v="94"/>
    <x v="101"/>
    <x v="3"/>
    <x v="1"/>
    <x v="302"/>
    <x v="12"/>
    <x v="1"/>
    <n v="1783.48"/>
    <n v="1931.56"/>
    <x v="0"/>
    <x v="29"/>
    <x v="1"/>
    <s v="Retail"/>
    <x v="8"/>
    <x v="302"/>
  </r>
  <r>
    <x v="11"/>
    <x v="193"/>
    <x v="4"/>
    <x v="0"/>
    <x v="303"/>
    <x v="8"/>
    <x v="2"/>
    <n v="3105.24"/>
    <n v="3246.33"/>
    <x v="1"/>
    <x v="26"/>
    <x v="0"/>
    <s v="Online"/>
    <x v="15"/>
    <x v="303"/>
  </r>
  <r>
    <x v="52"/>
    <x v="43"/>
    <x v="4"/>
    <x v="2"/>
    <x v="304"/>
    <x v="20"/>
    <x v="1"/>
    <n v="4429.8"/>
    <n v="4694.21"/>
    <x v="1"/>
    <x v="26"/>
    <x v="1"/>
    <s v="Online"/>
    <x v="9"/>
    <x v="304"/>
  </r>
  <r>
    <x v="20"/>
    <x v="55"/>
    <x v="2"/>
    <x v="3"/>
    <x v="305"/>
    <x v="16"/>
    <x v="3"/>
    <n v="1195.22"/>
    <n v="1320.06"/>
    <x v="0"/>
    <x v="10"/>
    <x v="1"/>
    <s v="Retail"/>
    <x v="4"/>
    <x v="305"/>
  </r>
  <r>
    <x v="11"/>
    <x v="194"/>
    <x v="1"/>
    <x v="0"/>
    <x v="306"/>
    <x v="22"/>
    <x v="0"/>
    <n v="2051"/>
    <n v="2121.5500000000002"/>
    <x v="0"/>
    <x v="16"/>
    <x v="0"/>
    <s v="Retail"/>
    <x v="11"/>
    <x v="306"/>
  </r>
  <r>
    <x v="8"/>
    <x v="195"/>
    <x v="2"/>
    <x v="0"/>
    <x v="307"/>
    <x v="1"/>
    <x v="3"/>
    <n v="4966.66"/>
    <n v="5037.2699999999904"/>
    <x v="0"/>
    <x v="19"/>
    <x v="1"/>
    <s v="Retail"/>
    <x v="19"/>
    <x v="307"/>
  </r>
  <r>
    <x v="3"/>
    <x v="196"/>
    <x v="1"/>
    <x v="0"/>
    <x v="308"/>
    <x v="22"/>
    <x v="3"/>
    <n v="4349.3599999999997"/>
    <n v="4645.17"/>
    <x v="0"/>
    <x v="13"/>
    <x v="2"/>
    <s v="Retail"/>
    <x v="11"/>
    <x v="308"/>
  </r>
  <r>
    <x v="49"/>
    <x v="78"/>
    <x v="0"/>
    <x v="1"/>
    <x v="309"/>
    <x v="12"/>
    <x v="0"/>
    <n v="2844.97"/>
    <n v="3215"/>
    <x v="0"/>
    <x v="0"/>
    <x v="2"/>
    <s v="Retail"/>
    <x v="1"/>
    <x v="309"/>
  </r>
  <r>
    <x v="17"/>
    <x v="102"/>
    <x v="0"/>
    <x v="2"/>
    <x v="310"/>
    <x v="46"/>
    <x v="2"/>
    <n v="2607.31"/>
    <n v="2774.86"/>
    <x v="1"/>
    <x v="29"/>
    <x v="2"/>
    <s v="Retail"/>
    <x v="3"/>
    <x v="310"/>
  </r>
  <r>
    <x v="42"/>
    <x v="2"/>
    <x v="3"/>
    <x v="2"/>
    <x v="311"/>
    <x v="43"/>
    <x v="0"/>
    <n v="1458.77"/>
    <n v="1485.75"/>
    <x v="1"/>
    <x v="26"/>
    <x v="2"/>
    <s v="Online"/>
    <x v="6"/>
    <x v="311"/>
  </r>
  <r>
    <x v="73"/>
    <x v="164"/>
    <x v="1"/>
    <x v="3"/>
    <x v="312"/>
    <x v="22"/>
    <x v="2"/>
    <n v="2610.19"/>
    <n v="2682.53"/>
    <x v="1"/>
    <x v="6"/>
    <x v="0"/>
    <s v="Retail"/>
    <x v="16"/>
    <x v="312"/>
  </r>
  <r>
    <x v="23"/>
    <x v="197"/>
    <x v="3"/>
    <x v="2"/>
    <x v="313"/>
    <x v="5"/>
    <x v="2"/>
    <n v="4248.5"/>
    <n v="4706.7"/>
    <x v="1"/>
    <x v="30"/>
    <x v="1"/>
    <s v="Retail"/>
    <x v="6"/>
    <x v="313"/>
  </r>
  <r>
    <x v="73"/>
    <x v="198"/>
    <x v="4"/>
    <x v="2"/>
    <x v="314"/>
    <x v="10"/>
    <x v="1"/>
    <n v="3441.61"/>
    <n v="3693.45"/>
    <x v="0"/>
    <x v="27"/>
    <x v="1"/>
    <s v="Online"/>
    <x v="9"/>
    <x v="314"/>
  </r>
  <r>
    <x v="97"/>
    <x v="108"/>
    <x v="1"/>
    <x v="0"/>
    <x v="315"/>
    <x v="16"/>
    <x v="1"/>
    <n v="1485.72"/>
    <n v="1717.97"/>
    <x v="1"/>
    <x v="3"/>
    <x v="2"/>
    <s v="Retail"/>
    <x v="11"/>
    <x v="315"/>
  </r>
  <r>
    <x v="1"/>
    <x v="199"/>
    <x v="2"/>
    <x v="0"/>
    <x v="316"/>
    <x v="11"/>
    <x v="0"/>
    <n v="1047.25"/>
    <n v="1075.8900000000001"/>
    <x v="1"/>
    <x v="24"/>
    <x v="2"/>
    <s v="Retail"/>
    <x v="19"/>
    <x v="316"/>
  </r>
  <r>
    <x v="37"/>
    <x v="200"/>
    <x v="4"/>
    <x v="1"/>
    <x v="317"/>
    <x v="38"/>
    <x v="3"/>
    <n v="1362.78"/>
    <n v="1729.81"/>
    <x v="1"/>
    <x v="12"/>
    <x v="1"/>
    <s v="Online"/>
    <x v="17"/>
    <x v="317"/>
  </r>
  <r>
    <x v="60"/>
    <x v="201"/>
    <x v="4"/>
    <x v="0"/>
    <x v="318"/>
    <x v="1"/>
    <x v="0"/>
    <n v="890.31"/>
    <n v="1159.06"/>
    <x v="0"/>
    <x v="18"/>
    <x v="0"/>
    <s v="Retail"/>
    <x v="15"/>
    <x v="318"/>
  </r>
  <r>
    <x v="83"/>
    <x v="202"/>
    <x v="2"/>
    <x v="0"/>
    <x v="319"/>
    <x v="48"/>
    <x v="2"/>
    <n v="523.41999999999996"/>
    <n v="632.43999999999903"/>
    <x v="1"/>
    <x v="2"/>
    <x v="1"/>
    <s v="Online"/>
    <x v="19"/>
    <x v="319"/>
  </r>
  <r>
    <x v="52"/>
    <x v="164"/>
    <x v="4"/>
    <x v="0"/>
    <x v="320"/>
    <x v="8"/>
    <x v="1"/>
    <n v="2124.7199999999998"/>
    <n v="2188.66"/>
    <x v="0"/>
    <x v="21"/>
    <x v="2"/>
    <s v="Retail"/>
    <x v="15"/>
    <x v="320"/>
  </r>
  <r>
    <x v="46"/>
    <x v="108"/>
    <x v="1"/>
    <x v="0"/>
    <x v="321"/>
    <x v="21"/>
    <x v="0"/>
    <n v="610.83000000000004"/>
    <n v="808.69"/>
    <x v="1"/>
    <x v="20"/>
    <x v="2"/>
    <s v="Online"/>
    <x v="11"/>
    <x v="321"/>
  </r>
  <r>
    <x v="29"/>
    <x v="68"/>
    <x v="3"/>
    <x v="1"/>
    <x v="322"/>
    <x v="22"/>
    <x v="0"/>
    <n v="900.97"/>
    <n v="1321.18"/>
    <x v="0"/>
    <x v="15"/>
    <x v="0"/>
    <s v="Online"/>
    <x v="8"/>
    <x v="322"/>
  </r>
  <r>
    <x v="4"/>
    <x v="89"/>
    <x v="4"/>
    <x v="0"/>
    <x v="323"/>
    <x v="5"/>
    <x v="1"/>
    <n v="2759.26"/>
    <n v="3193.25"/>
    <x v="1"/>
    <x v="2"/>
    <x v="1"/>
    <s v="Online"/>
    <x v="15"/>
    <x v="323"/>
  </r>
  <r>
    <x v="62"/>
    <x v="203"/>
    <x v="1"/>
    <x v="3"/>
    <x v="324"/>
    <x v="43"/>
    <x v="1"/>
    <n v="864.77"/>
    <n v="1170.1599999999901"/>
    <x v="0"/>
    <x v="1"/>
    <x v="0"/>
    <s v="Retail"/>
    <x v="16"/>
    <x v="324"/>
  </r>
  <r>
    <x v="10"/>
    <x v="77"/>
    <x v="0"/>
    <x v="3"/>
    <x v="325"/>
    <x v="4"/>
    <x v="1"/>
    <n v="366.2"/>
    <n v="732.69"/>
    <x v="1"/>
    <x v="14"/>
    <x v="0"/>
    <s v="Retail"/>
    <x v="12"/>
    <x v="325"/>
  </r>
  <r>
    <x v="20"/>
    <x v="163"/>
    <x v="1"/>
    <x v="3"/>
    <x v="326"/>
    <x v="32"/>
    <x v="2"/>
    <n v="1621.07"/>
    <n v="1687.5"/>
    <x v="0"/>
    <x v="7"/>
    <x v="2"/>
    <s v="Online"/>
    <x v="16"/>
    <x v="326"/>
  </r>
  <r>
    <x v="89"/>
    <x v="29"/>
    <x v="3"/>
    <x v="3"/>
    <x v="327"/>
    <x v="28"/>
    <x v="1"/>
    <n v="1140.58"/>
    <n v="1438.76"/>
    <x v="0"/>
    <x v="21"/>
    <x v="1"/>
    <s v="Online"/>
    <x v="14"/>
    <x v="327"/>
  </r>
  <r>
    <x v="20"/>
    <x v="204"/>
    <x v="1"/>
    <x v="0"/>
    <x v="328"/>
    <x v="35"/>
    <x v="3"/>
    <n v="2600.7600000000002"/>
    <n v="2937.57"/>
    <x v="1"/>
    <x v="22"/>
    <x v="2"/>
    <s v="Retail"/>
    <x v="11"/>
    <x v="328"/>
  </r>
  <r>
    <x v="39"/>
    <x v="205"/>
    <x v="2"/>
    <x v="3"/>
    <x v="329"/>
    <x v="10"/>
    <x v="0"/>
    <n v="556.72"/>
    <n v="665.07"/>
    <x v="0"/>
    <x v="30"/>
    <x v="1"/>
    <s v="Retail"/>
    <x v="4"/>
    <x v="329"/>
  </r>
  <r>
    <x v="5"/>
    <x v="90"/>
    <x v="3"/>
    <x v="0"/>
    <x v="330"/>
    <x v="13"/>
    <x v="1"/>
    <n v="3771.27"/>
    <n v="4212.55"/>
    <x v="0"/>
    <x v="28"/>
    <x v="2"/>
    <s v="Retail"/>
    <x v="7"/>
    <x v="330"/>
  </r>
  <r>
    <x v="57"/>
    <x v="206"/>
    <x v="0"/>
    <x v="1"/>
    <x v="331"/>
    <x v="20"/>
    <x v="1"/>
    <n v="4535.8599999999997"/>
    <n v="4641.41"/>
    <x v="1"/>
    <x v="29"/>
    <x v="2"/>
    <s v="Retail"/>
    <x v="1"/>
    <x v="331"/>
  </r>
  <r>
    <x v="94"/>
    <x v="207"/>
    <x v="2"/>
    <x v="3"/>
    <x v="332"/>
    <x v="41"/>
    <x v="2"/>
    <n v="3730"/>
    <n v="3893.6"/>
    <x v="1"/>
    <x v="26"/>
    <x v="1"/>
    <s v="Retail"/>
    <x v="4"/>
    <x v="332"/>
  </r>
  <r>
    <x v="45"/>
    <x v="208"/>
    <x v="1"/>
    <x v="2"/>
    <x v="333"/>
    <x v="11"/>
    <x v="2"/>
    <n v="2687.49"/>
    <n v="3001.56"/>
    <x v="0"/>
    <x v="16"/>
    <x v="1"/>
    <s v="Online"/>
    <x v="2"/>
    <x v="333"/>
  </r>
  <r>
    <x v="34"/>
    <x v="14"/>
    <x v="3"/>
    <x v="3"/>
    <x v="334"/>
    <x v="25"/>
    <x v="0"/>
    <n v="4310.3100000000004"/>
    <n v="4633.1000000000004"/>
    <x v="1"/>
    <x v="24"/>
    <x v="2"/>
    <s v="Retail"/>
    <x v="14"/>
    <x v="334"/>
  </r>
  <r>
    <x v="95"/>
    <x v="119"/>
    <x v="0"/>
    <x v="3"/>
    <x v="335"/>
    <x v="40"/>
    <x v="3"/>
    <n v="3489.85"/>
    <n v="3842.5499999999902"/>
    <x v="1"/>
    <x v="21"/>
    <x v="1"/>
    <s v="Online"/>
    <x v="12"/>
    <x v="335"/>
  </r>
  <r>
    <x v="90"/>
    <x v="156"/>
    <x v="2"/>
    <x v="0"/>
    <x v="336"/>
    <x v="25"/>
    <x v="0"/>
    <n v="102.23"/>
    <n v="167.12"/>
    <x v="1"/>
    <x v="14"/>
    <x v="2"/>
    <s v="Retail"/>
    <x v="19"/>
    <x v="336"/>
  </r>
  <r>
    <x v="20"/>
    <x v="123"/>
    <x v="0"/>
    <x v="3"/>
    <x v="337"/>
    <x v="41"/>
    <x v="1"/>
    <n v="2000.75"/>
    <n v="2426.9899999999998"/>
    <x v="0"/>
    <x v="22"/>
    <x v="1"/>
    <s v="Online"/>
    <x v="12"/>
    <x v="337"/>
  </r>
  <r>
    <x v="57"/>
    <x v="154"/>
    <x v="1"/>
    <x v="2"/>
    <x v="338"/>
    <x v="27"/>
    <x v="3"/>
    <n v="4262.21"/>
    <n v="4533.3100000000004"/>
    <x v="0"/>
    <x v="29"/>
    <x v="2"/>
    <s v="Online"/>
    <x v="2"/>
    <x v="338"/>
  </r>
  <r>
    <x v="21"/>
    <x v="2"/>
    <x v="0"/>
    <x v="0"/>
    <x v="339"/>
    <x v="42"/>
    <x v="3"/>
    <n v="1762"/>
    <n v="2002.95"/>
    <x v="0"/>
    <x v="12"/>
    <x v="2"/>
    <s v="Retail"/>
    <x v="0"/>
    <x v="339"/>
  </r>
  <r>
    <x v="26"/>
    <x v="96"/>
    <x v="4"/>
    <x v="0"/>
    <x v="340"/>
    <x v="40"/>
    <x v="3"/>
    <n v="224.32"/>
    <n v="715.06"/>
    <x v="0"/>
    <x v="30"/>
    <x v="2"/>
    <s v="Online"/>
    <x v="15"/>
    <x v="340"/>
  </r>
  <r>
    <x v="74"/>
    <x v="209"/>
    <x v="2"/>
    <x v="1"/>
    <x v="341"/>
    <x v="5"/>
    <x v="3"/>
    <n v="3743.59"/>
    <n v="4116.38"/>
    <x v="0"/>
    <x v="1"/>
    <x v="0"/>
    <s v="Online"/>
    <x v="5"/>
    <x v="341"/>
  </r>
  <r>
    <x v="13"/>
    <x v="210"/>
    <x v="0"/>
    <x v="1"/>
    <x v="342"/>
    <x v="27"/>
    <x v="0"/>
    <n v="4020.09"/>
    <n v="4087.91"/>
    <x v="0"/>
    <x v="18"/>
    <x v="1"/>
    <s v="Online"/>
    <x v="1"/>
    <x v="342"/>
  </r>
  <r>
    <x v="16"/>
    <x v="101"/>
    <x v="1"/>
    <x v="3"/>
    <x v="343"/>
    <x v="39"/>
    <x v="2"/>
    <n v="844.94"/>
    <n v="1225.6400000000001"/>
    <x v="0"/>
    <x v="10"/>
    <x v="2"/>
    <s v="Online"/>
    <x v="16"/>
    <x v="343"/>
  </r>
  <r>
    <x v="17"/>
    <x v="108"/>
    <x v="1"/>
    <x v="1"/>
    <x v="344"/>
    <x v="17"/>
    <x v="2"/>
    <n v="2709.84"/>
    <n v="2766.51"/>
    <x v="1"/>
    <x v="27"/>
    <x v="0"/>
    <s v="Retail"/>
    <x v="13"/>
    <x v="344"/>
  </r>
  <r>
    <x v="32"/>
    <x v="211"/>
    <x v="0"/>
    <x v="1"/>
    <x v="345"/>
    <x v="45"/>
    <x v="1"/>
    <n v="1000.18"/>
    <n v="1023.64"/>
    <x v="0"/>
    <x v="14"/>
    <x v="2"/>
    <s v="Online"/>
    <x v="1"/>
    <x v="345"/>
  </r>
  <r>
    <x v="52"/>
    <x v="146"/>
    <x v="1"/>
    <x v="1"/>
    <x v="346"/>
    <x v="29"/>
    <x v="2"/>
    <n v="3610.21"/>
    <n v="3817.99"/>
    <x v="0"/>
    <x v="25"/>
    <x v="0"/>
    <s v="Retail"/>
    <x v="13"/>
    <x v="346"/>
  </r>
  <r>
    <x v="45"/>
    <x v="98"/>
    <x v="3"/>
    <x v="0"/>
    <x v="347"/>
    <x v="38"/>
    <x v="2"/>
    <n v="1394.17"/>
    <n v="1891.02"/>
    <x v="1"/>
    <x v="5"/>
    <x v="2"/>
    <s v="Online"/>
    <x v="7"/>
    <x v="347"/>
  </r>
  <r>
    <x v="75"/>
    <x v="162"/>
    <x v="3"/>
    <x v="0"/>
    <x v="348"/>
    <x v="13"/>
    <x v="2"/>
    <n v="1615.26"/>
    <n v="1710.95"/>
    <x v="1"/>
    <x v="10"/>
    <x v="2"/>
    <s v="Retail"/>
    <x v="7"/>
    <x v="348"/>
  </r>
  <r>
    <x v="75"/>
    <x v="34"/>
    <x v="3"/>
    <x v="0"/>
    <x v="349"/>
    <x v="8"/>
    <x v="2"/>
    <n v="4232.6099999999997"/>
    <n v="4572.21"/>
    <x v="1"/>
    <x v="30"/>
    <x v="0"/>
    <s v="Retail"/>
    <x v="7"/>
    <x v="349"/>
  </r>
  <r>
    <x v="92"/>
    <x v="27"/>
    <x v="4"/>
    <x v="1"/>
    <x v="350"/>
    <x v="17"/>
    <x v="1"/>
    <n v="2407.8000000000002"/>
    <n v="2502.7600000000002"/>
    <x v="0"/>
    <x v="29"/>
    <x v="0"/>
    <s v="Retail"/>
    <x v="17"/>
    <x v="350"/>
  </r>
  <r>
    <x v="5"/>
    <x v="212"/>
    <x v="0"/>
    <x v="0"/>
    <x v="351"/>
    <x v="14"/>
    <x v="0"/>
    <n v="3365.28"/>
    <n v="3730.43"/>
    <x v="1"/>
    <x v="22"/>
    <x v="1"/>
    <s v="Online"/>
    <x v="0"/>
    <x v="351"/>
  </r>
  <r>
    <x v="16"/>
    <x v="128"/>
    <x v="4"/>
    <x v="1"/>
    <x v="352"/>
    <x v="3"/>
    <x v="3"/>
    <n v="2041.75"/>
    <n v="2299.37"/>
    <x v="0"/>
    <x v="19"/>
    <x v="1"/>
    <s v="Retail"/>
    <x v="17"/>
    <x v="352"/>
  </r>
  <r>
    <x v="85"/>
    <x v="213"/>
    <x v="1"/>
    <x v="0"/>
    <x v="353"/>
    <x v="27"/>
    <x v="2"/>
    <n v="1525.13"/>
    <n v="1868.32"/>
    <x v="0"/>
    <x v="19"/>
    <x v="0"/>
    <s v="Retail"/>
    <x v="11"/>
    <x v="353"/>
  </r>
  <r>
    <x v="69"/>
    <x v="67"/>
    <x v="4"/>
    <x v="0"/>
    <x v="354"/>
    <x v="39"/>
    <x v="0"/>
    <n v="3146.12"/>
    <n v="3255.5299999999902"/>
    <x v="0"/>
    <x v="18"/>
    <x v="1"/>
    <s v="Online"/>
    <x v="15"/>
    <x v="354"/>
  </r>
  <r>
    <x v="18"/>
    <x v="214"/>
    <x v="1"/>
    <x v="2"/>
    <x v="355"/>
    <x v="29"/>
    <x v="2"/>
    <n v="816.54"/>
    <n v="1191.9000000000001"/>
    <x v="1"/>
    <x v="21"/>
    <x v="0"/>
    <s v="Retail"/>
    <x v="2"/>
    <x v="355"/>
  </r>
  <r>
    <x v="85"/>
    <x v="215"/>
    <x v="1"/>
    <x v="3"/>
    <x v="356"/>
    <x v="48"/>
    <x v="2"/>
    <n v="1896.35"/>
    <n v="2394.1999999999998"/>
    <x v="1"/>
    <x v="20"/>
    <x v="1"/>
    <s v="Online"/>
    <x v="16"/>
    <x v="356"/>
  </r>
  <r>
    <x v="91"/>
    <x v="216"/>
    <x v="2"/>
    <x v="1"/>
    <x v="357"/>
    <x v="16"/>
    <x v="3"/>
    <n v="1084.73"/>
    <n v="1420.9"/>
    <x v="0"/>
    <x v="8"/>
    <x v="2"/>
    <s v="Online"/>
    <x v="5"/>
    <x v="357"/>
  </r>
  <r>
    <x v="4"/>
    <x v="20"/>
    <x v="3"/>
    <x v="2"/>
    <x v="358"/>
    <x v="3"/>
    <x v="3"/>
    <n v="3494.19"/>
    <n v="3746"/>
    <x v="0"/>
    <x v="26"/>
    <x v="1"/>
    <s v="Retail"/>
    <x v="6"/>
    <x v="358"/>
  </r>
  <r>
    <x v="57"/>
    <x v="33"/>
    <x v="1"/>
    <x v="0"/>
    <x v="359"/>
    <x v="31"/>
    <x v="3"/>
    <n v="4723.83"/>
    <n v="5186.1899999999996"/>
    <x v="0"/>
    <x v="20"/>
    <x v="2"/>
    <s v="Online"/>
    <x v="11"/>
    <x v="359"/>
  </r>
  <r>
    <x v="88"/>
    <x v="178"/>
    <x v="2"/>
    <x v="1"/>
    <x v="360"/>
    <x v="25"/>
    <x v="2"/>
    <n v="4977.78"/>
    <n v="4995.55"/>
    <x v="1"/>
    <x v="26"/>
    <x v="2"/>
    <s v="Online"/>
    <x v="5"/>
    <x v="360"/>
  </r>
  <r>
    <x v="38"/>
    <x v="217"/>
    <x v="3"/>
    <x v="0"/>
    <x v="361"/>
    <x v="22"/>
    <x v="2"/>
    <n v="2278.87"/>
    <n v="2646.5299999999902"/>
    <x v="0"/>
    <x v="0"/>
    <x v="1"/>
    <s v="Online"/>
    <x v="7"/>
    <x v="361"/>
  </r>
  <r>
    <x v="46"/>
    <x v="218"/>
    <x v="1"/>
    <x v="3"/>
    <x v="362"/>
    <x v="2"/>
    <x v="2"/>
    <n v="1300.03"/>
    <n v="1745.52"/>
    <x v="1"/>
    <x v="0"/>
    <x v="0"/>
    <s v="Retail"/>
    <x v="16"/>
    <x v="362"/>
  </r>
  <r>
    <x v="18"/>
    <x v="219"/>
    <x v="1"/>
    <x v="2"/>
    <x v="363"/>
    <x v="15"/>
    <x v="3"/>
    <n v="2242.0100000000002"/>
    <n v="2282.23"/>
    <x v="0"/>
    <x v="2"/>
    <x v="2"/>
    <s v="Online"/>
    <x v="2"/>
    <x v="363"/>
  </r>
  <r>
    <x v="24"/>
    <x v="131"/>
    <x v="4"/>
    <x v="3"/>
    <x v="364"/>
    <x v="34"/>
    <x v="1"/>
    <n v="4243.9799999999996"/>
    <n v="4474.5099999999902"/>
    <x v="1"/>
    <x v="30"/>
    <x v="2"/>
    <s v="Online"/>
    <x v="18"/>
    <x v="364"/>
  </r>
  <r>
    <x v="90"/>
    <x v="220"/>
    <x v="4"/>
    <x v="2"/>
    <x v="365"/>
    <x v="0"/>
    <x v="0"/>
    <n v="1069.73"/>
    <n v="1180.04"/>
    <x v="0"/>
    <x v="20"/>
    <x v="1"/>
    <s v="Online"/>
    <x v="9"/>
    <x v="119"/>
  </r>
  <r>
    <x v="44"/>
    <x v="142"/>
    <x v="3"/>
    <x v="0"/>
    <x v="366"/>
    <x v="47"/>
    <x v="1"/>
    <n v="4762.87"/>
    <n v="5050.46"/>
    <x v="1"/>
    <x v="26"/>
    <x v="0"/>
    <s v="Retail"/>
    <x v="7"/>
    <x v="365"/>
  </r>
  <r>
    <x v="28"/>
    <x v="221"/>
    <x v="1"/>
    <x v="3"/>
    <x v="367"/>
    <x v="6"/>
    <x v="2"/>
    <n v="1742.24"/>
    <n v="2070.52"/>
    <x v="1"/>
    <x v="7"/>
    <x v="0"/>
    <s v="Online"/>
    <x v="16"/>
    <x v="366"/>
  </r>
  <r>
    <x v="16"/>
    <x v="222"/>
    <x v="0"/>
    <x v="3"/>
    <x v="368"/>
    <x v="3"/>
    <x v="2"/>
    <n v="4929.7299999999996"/>
    <n v="5088.0199999999904"/>
    <x v="1"/>
    <x v="10"/>
    <x v="1"/>
    <s v="Retail"/>
    <x v="12"/>
    <x v="367"/>
  </r>
  <r>
    <x v="1"/>
    <x v="223"/>
    <x v="4"/>
    <x v="0"/>
    <x v="369"/>
    <x v="24"/>
    <x v="1"/>
    <n v="4201.1099999999997"/>
    <n v="4436.5"/>
    <x v="1"/>
    <x v="8"/>
    <x v="0"/>
    <s v="Online"/>
    <x v="15"/>
    <x v="368"/>
  </r>
  <r>
    <x v="98"/>
    <x v="54"/>
    <x v="3"/>
    <x v="3"/>
    <x v="370"/>
    <x v="8"/>
    <x v="2"/>
    <n v="4052.42"/>
    <n v="4199.3"/>
    <x v="1"/>
    <x v="15"/>
    <x v="1"/>
    <s v="Retail"/>
    <x v="14"/>
    <x v="369"/>
  </r>
  <r>
    <x v="51"/>
    <x v="70"/>
    <x v="1"/>
    <x v="1"/>
    <x v="371"/>
    <x v="27"/>
    <x v="0"/>
    <n v="1623.63"/>
    <n v="1814.63"/>
    <x v="1"/>
    <x v="12"/>
    <x v="1"/>
    <s v="Retail"/>
    <x v="13"/>
    <x v="370"/>
  </r>
  <r>
    <x v="73"/>
    <x v="62"/>
    <x v="1"/>
    <x v="2"/>
    <x v="372"/>
    <x v="18"/>
    <x v="2"/>
    <n v="93.45"/>
    <n v="181.62"/>
    <x v="0"/>
    <x v="23"/>
    <x v="1"/>
    <s v="Retail"/>
    <x v="2"/>
    <x v="371"/>
  </r>
  <r>
    <x v="72"/>
    <x v="224"/>
    <x v="0"/>
    <x v="2"/>
    <x v="373"/>
    <x v="47"/>
    <x v="0"/>
    <n v="1941.56"/>
    <n v="2385.48"/>
    <x v="0"/>
    <x v="25"/>
    <x v="2"/>
    <s v="Online"/>
    <x v="3"/>
    <x v="372"/>
  </r>
  <r>
    <x v="11"/>
    <x v="195"/>
    <x v="3"/>
    <x v="2"/>
    <x v="374"/>
    <x v="2"/>
    <x v="1"/>
    <n v="1543.96"/>
    <n v="1558.87"/>
    <x v="0"/>
    <x v="24"/>
    <x v="2"/>
    <s v="Online"/>
    <x v="6"/>
    <x v="373"/>
  </r>
  <r>
    <x v="1"/>
    <x v="11"/>
    <x v="1"/>
    <x v="1"/>
    <x v="375"/>
    <x v="32"/>
    <x v="1"/>
    <n v="235.12"/>
    <n v="677.5"/>
    <x v="0"/>
    <x v="28"/>
    <x v="2"/>
    <s v="Online"/>
    <x v="13"/>
    <x v="374"/>
  </r>
  <r>
    <x v="98"/>
    <x v="225"/>
    <x v="4"/>
    <x v="2"/>
    <x v="376"/>
    <x v="7"/>
    <x v="2"/>
    <n v="2551.56"/>
    <n v="2841.68"/>
    <x v="1"/>
    <x v="0"/>
    <x v="1"/>
    <s v="Retail"/>
    <x v="9"/>
    <x v="375"/>
  </r>
  <r>
    <x v="14"/>
    <x v="226"/>
    <x v="0"/>
    <x v="0"/>
    <x v="377"/>
    <x v="16"/>
    <x v="0"/>
    <n v="2045"/>
    <n v="2217.5100000000002"/>
    <x v="0"/>
    <x v="4"/>
    <x v="2"/>
    <s v="Online"/>
    <x v="0"/>
    <x v="376"/>
  </r>
  <r>
    <x v="56"/>
    <x v="182"/>
    <x v="3"/>
    <x v="3"/>
    <x v="378"/>
    <x v="41"/>
    <x v="2"/>
    <n v="3191.05"/>
    <n v="3555.35"/>
    <x v="1"/>
    <x v="24"/>
    <x v="2"/>
    <s v="Online"/>
    <x v="14"/>
    <x v="377"/>
  </r>
  <r>
    <x v="73"/>
    <x v="174"/>
    <x v="0"/>
    <x v="1"/>
    <x v="379"/>
    <x v="6"/>
    <x v="3"/>
    <n v="3124.87"/>
    <n v="3383.67"/>
    <x v="1"/>
    <x v="8"/>
    <x v="2"/>
    <s v="Retail"/>
    <x v="1"/>
    <x v="378"/>
  </r>
  <r>
    <x v="19"/>
    <x v="227"/>
    <x v="4"/>
    <x v="2"/>
    <x v="380"/>
    <x v="18"/>
    <x v="3"/>
    <n v="647.70000000000005"/>
    <n v="902.26"/>
    <x v="1"/>
    <x v="22"/>
    <x v="1"/>
    <s v="Online"/>
    <x v="9"/>
    <x v="379"/>
  </r>
  <r>
    <x v="85"/>
    <x v="228"/>
    <x v="3"/>
    <x v="0"/>
    <x v="381"/>
    <x v="32"/>
    <x v="3"/>
    <n v="4885.9799999999996"/>
    <n v="4949.95"/>
    <x v="0"/>
    <x v="22"/>
    <x v="1"/>
    <s v="Online"/>
    <x v="7"/>
    <x v="380"/>
  </r>
  <r>
    <x v="53"/>
    <x v="166"/>
    <x v="0"/>
    <x v="3"/>
    <x v="382"/>
    <x v="5"/>
    <x v="3"/>
    <n v="975.31"/>
    <n v="1176.17"/>
    <x v="1"/>
    <x v="20"/>
    <x v="1"/>
    <s v="Retail"/>
    <x v="12"/>
    <x v="381"/>
  </r>
  <r>
    <x v="59"/>
    <x v="189"/>
    <x v="2"/>
    <x v="3"/>
    <x v="383"/>
    <x v="31"/>
    <x v="2"/>
    <n v="2254.11"/>
    <n v="2382.23"/>
    <x v="0"/>
    <x v="25"/>
    <x v="2"/>
    <s v="Retail"/>
    <x v="4"/>
    <x v="382"/>
  </r>
  <r>
    <x v="82"/>
    <x v="211"/>
    <x v="4"/>
    <x v="1"/>
    <x v="384"/>
    <x v="0"/>
    <x v="3"/>
    <n v="2466.1799999999998"/>
    <n v="2483.87"/>
    <x v="0"/>
    <x v="4"/>
    <x v="0"/>
    <s v="Online"/>
    <x v="17"/>
    <x v="383"/>
  </r>
  <r>
    <x v="7"/>
    <x v="229"/>
    <x v="4"/>
    <x v="1"/>
    <x v="385"/>
    <x v="13"/>
    <x v="0"/>
    <n v="4074.66"/>
    <n v="4261.1099999999997"/>
    <x v="0"/>
    <x v="8"/>
    <x v="2"/>
    <s v="Retail"/>
    <x v="17"/>
    <x v="384"/>
  </r>
  <r>
    <x v="20"/>
    <x v="186"/>
    <x v="4"/>
    <x v="1"/>
    <x v="386"/>
    <x v="11"/>
    <x v="1"/>
    <n v="541.19000000000005"/>
    <n v="595.20000000000005"/>
    <x v="0"/>
    <x v="27"/>
    <x v="2"/>
    <s v="Online"/>
    <x v="17"/>
    <x v="385"/>
  </r>
  <r>
    <x v="95"/>
    <x v="173"/>
    <x v="2"/>
    <x v="0"/>
    <x v="387"/>
    <x v="5"/>
    <x v="1"/>
    <n v="2171.79"/>
    <n v="2307.64"/>
    <x v="0"/>
    <x v="20"/>
    <x v="1"/>
    <s v="Online"/>
    <x v="19"/>
    <x v="386"/>
  </r>
  <r>
    <x v="37"/>
    <x v="185"/>
    <x v="2"/>
    <x v="0"/>
    <x v="388"/>
    <x v="14"/>
    <x v="3"/>
    <n v="3161.09"/>
    <n v="3216.42"/>
    <x v="1"/>
    <x v="22"/>
    <x v="1"/>
    <s v="Online"/>
    <x v="19"/>
    <x v="387"/>
  </r>
  <r>
    <x v="97"/>
    <x v="230"/>
    <x v="1"/>
    <x v="1"/>
    <x v="389"/>
    <x v="35"/>
    <x v="3"/>
    <n v="1115.02"/>
    <n v="1174.48"/>
    <x v="1"/>
    <x v="20"/>
    <x v="2"/>
    <s v="Online"/>
    <x v="13"/>
    <x v="388"/>
  </r>
  <r>
    <x v="56"/>
    <x v="137"/>
    <x v="0"/>
    <x v="2"/>
    <x v="390"/>
    <x v="15"/>
    <x v="3"/>
    <n v="3155.97"/>
    <n v="3263.49"/>
    <x v="0"/>
    <x v="14"/>
    <x v="2"/>
    <s v="Online"/>
    <x v="3"/>
    <x v="389"/>
  </r>
  <r>
    <x v="52"/>
    <x v="230"/>
    <x v="1"/>
    <x v="3"/>
    <x v="391"/>
    <x v="46"/>
    <x v="2"/>
    <n v="4622.1400000000003"/>
    <n v="5122.07"/>
    <x v="1"/>
    <x v="16"/>
    <x v="0"/>
    <s v="Retail"/>
    <x v="16"/>
    <x v="390"/>
  </r>
  <r>
    <x v="22"/>
    <x v="107"/>
    <x v="0"/>
    <x v="3"/>
    <x v="392"/>
    <x v="32"/>
    <x v="1"/>
    <n v="4987.71"/>
    <n v="4998.78"/>
    <x v="0"/>
    <x v="22"/>
    <x v="0"/>
    <s v="Retail"/>
    <x v="12"/>
    <x v="391"/>
  </r>
  <r>
    <x v="95"/>
    <x v="231"/>
    <x v="2"/>
    <x v="0"/>
    <x v="393"/>
    <x v="10"/>
    <x v="3"/>
    <n v="210.63"/>
    <n v="533.57999999999902"/>
    <x v="1"/>
    <x v="14"/>
    <x v="1"/>
    <s v="Online"/>
    <x v="19"/>
    <x v="392"/>
  </r>
  <r>
    <x v="98"/>
    <x v="32"/>
    <x v="2"/>
    <x v="3"/>
    <x v="394"/>
    <x v="45"/>
    <x v="0"/>
    <n v="1216.1600000000001"/>
    <n v="1295.3699999999999"/>
    <x v="1"/>
    <x v="6"/>
    <x v="0"/>
    <s v="Retail"/>
    <x v="4"/>
    <x v="393"/>
  </r>
  <r>
    <x v="11"/>
    <x v="104"/>
    <x v="1"/>
    <x v="2"/>
    <x v="395"/>
    <x v="31"/>
    <x v="3"/>
    <n v="1586.02"/>
    <n v="2047.13"/>
    <x v="1"/>
    <x v="26"/>
    <x v="0"/>
    <s v="Retail"/>
    <x v="2"/>
    <x v="394"/>
  </r>
  <r>
    <x v="82"/>
    <x v="232"/>
    <x v="3"/>
    <x v="3"/>
    <x v="396"/>
    <x v="23"/>
    <x v="1"/>
    <n v="2025.67"/>
    <n v="2081.5500000000002"/>
    <x v="1"/>
    <x v="29"/>
    <x v="1"/>
    <s v="Online"/>
    <x v="14"/>
    <x v="395"/>
  </r>
  <r>
    <x v="31"/>
    <x v="197"/>
    <x v="1"/>
    <x v="0"/>
    <x v="397"/>
    <x v="8"/>
    <x v="3"/>
    <n v="1249.17"/>
    <n v="1727.15"/>
    <x v="1"/>
    <x v="4"/>
    <x v="0"/>
    <s v="Retail"/>
    <x v="11"/>
    <x v="396"/>
  </r>
  <r>
    <x v="74"/>
    <x v="233"/>
    <x v="0"/>
    <x v="0"/>
    <x v="398"/>
    <x v="1"/>
    <x v="1"/>
    <n v="1057.27"/>
    <n v="1366.62"/>
    <x v="1"/>
    <x v="5"/>
    <x v="2"/>
    <s v="Retail"/>
    <x v="0"/>
    <x v="397"/>
  </r>
  <r>
    <x v="71"/>
    <x v="234"/>
    <x v="1"/>
    <x v="2"/>
    <x v="399"/>
    <x v="5"/>
    <x v="3"/>
    <n v="4775.04"/>
    <n v="4785.66"/>
    <x v="1"/>
    <x v="21"/>
    <x v="0"/>
    <s v="Online"/>
    <x v="2"/>
    <x v="398"/>
  </r>
  <r>
    <x v="83"/>
    <x v="235"/>
    <x v="4"/>
    <x v="2"/>
    <x v="400"/>
    <x v="41"/>
    <x v="0"/>
    <n v="4596.68"/>
    <n v="5044.74"/>
    <x v="1"/>
    <x v="30"/>
    <x v="1"/>
    <s v="Online"/>
    <x v="9"/>
    <x v="399"/>
  </r>
  <r>
    <x v="75"/>
    <x v="236"/>
    <x v="0"/>
    <x v="3"/>
    <x v="401"/>
    <x v="41"/>
    <x v="3"/>
    <n v="282.61"/>
    <n v="548.25"/>
    <x v="1"/>
    <x v="22"/>
    <x v="2"/>
    <s v="Online"/>
    <x v="12"/>
    <x v="400"/>
  </r>
  <r>
    <x v="15"/>
    <x v="21"/>
    <x v="0"/>
    <x v="3"/>
    <x v="402"/>
    <x v="1"/>
    <x v="0"/>
    <n v="1727.12"/>
    <n v="1865.83"/>
    <x v="1"/>
    <x v="5"/>
    <x v="0"/>
    <s v="Online"/>
    <x v="12"/>
    <x v="401"/>
  </r>
  <r>
    <x v="41"/>
    <x v="168"/>
    <x v="3"/>
    <x v="0"/>
    <x v="403"/>
    <x v="36"/>
    <x v="0"/>
    <n v="2055.4899999999998"/>
    <n v="2441.46"/>
    <x v="1"/>
    <x v="19"/>
    <x v="2"/>
    <s v="Online"/>
    <x v="7"/>
    <x v="402"/>
  </r>
  <r>
    <x v="90"/>
    <x v="157"/>
    <x v="2"/>
    <x v="2"/>
    <x v="404"/>
    <x v="12"/>
    <x v="3"/>
    <n v="1233.1199999999999"/>
    <n v="1697.1899999999901"/>
    <x v="1"/>
    <x v="15"/>
    <x v="2"/>
    <s v="Online"/>
    <x v="10"/>
    <x v="403"/>
  </r>
  <r>
    <x v="20"/>
    <x v="237"/>
    <x v="0"/>
    <x v="2"/>
    <x v="405"/>
    <x v="47"/>
    <x v="0"/>
    <n v="3162.92"/>
    <n v="3409.93"/>
    <x v="1"/>
    <x v="11"/>
    <x v="0"/>
    <s v="Online"/>
    <x v="3"/>
    <x v="404"/>
  </r>
  <r>
    <x v="40"/>
    <x v="238"/>
    <x v="2"/>
    <x v="2"/>
    <x v="406"/>
    <x v="5"/>
    <x v="2"/>
    <n v="3219.88"/>
    <n v="3384.5"/>
    <x v="0"/>
    <x v="6"/>
    <x v="0"/>
    <s v="Retail"/>
    <x v="10"/>
    <x v="405"/>
  </r>
  <r>
    <x v="80"/>
    <x v="186"/>
    <x v="1"/>
    <x v="3"/>
    <x v="407"/>
    <x v="33"/>
    <x v="3"/>
    <n v="4260"/>
    <n v="4656.58"/>
    <x v="1"/>
    <x v="11"/>
    <x v="1"/>
    <s v="Online"/>
    <x v="16"/>
    <x v="406"/>
  </r>
  <r>
    <x v="57"/>
    <x v="62"/>
    <x v="4"/>
    <x v="2"/>
    <x v="408"/>
    <x v="32"/>
    <x v="3"/>
    <n v="3717.3"/>
    <n v="4061.37"/>
    <x v="1"/>
    <x v="21"/>
    <x v="1"/>
    <s v="Retail"/>
    <x v="9"/>
    <x v="407"/>
  </r>
  <r>
    <x v="36"/>
    <x v="37"/>
    <x v="3"/>
    <x v="0"/>
    <x v="409"/>
    <x v="22"/>
    <x v="0"/>
    <n v="2735.74"/>
    <n v="3181.22999999999"/>
    <x v="1"/>
    <x v="15"/>
    <x v="2"/>
    <s v="Retail"/>
    <x v="7"/>
    <x v="408"/>
  </r>
  <r>
    <x v="1"/>
    <x v="49"/>
    <x v="2"/>
    <x v="0"/>
    <x v="410"/>
    <x v="33"/>
    <x v="0"/>
    <n v="3285.25"/>
    <n v="3634.58"/>
    <x v="1"/>
    <x v="9"/>
    <x v="1"/>
    <s v="Online"/>
    <x v="19"/>
    <x v="409"/>
  </r>
  <r>
    <x v="27"/>
    <x v="239"/>
    <x v="0"/>
    <x v="3"/>
    <x v="411"/>
    <x v="21"/>
    <x v="3"/>
    <n v="1406.24"/>
    <n v="1535.57"/>
    <x v="1"/>
    <x v="4"/>
    <x v="2"/>
    <s v="Retail"/>
    <x v="12"/>
    <x v="410"/>
  </r>
  <r>
    <x v="61"/>
    <x v="173"/>
    <x v="2"/>
    <x v="1"/>
    <x v="412"/>
    <x v="46"/>
    <x v="2"/>
    <n v="2985.63"/>
    <n v="3452.14"/>
    <x v="1"/>
    <x v="22"/>
    <x v="2"/>
    <s v="Retail"/>
    <x v="5"/>
    <x v="411"/>
  </r>
  <r>
    <x v="73"/>
    <x v="240"/>
    <x v="0"/>
    <x v="3"/>
    <x v="413"/>
    <x v="33"/>
    <x v="0"/>
    <n v="2471.67"/>
    <n v="2533.04"/>
    <x v="0"/>
    <x v="3"/>
    <x v="1"/>
    <s v="Retail"/>
    <x v="12"/>
    <x v="412"/>
  </r>
  <r>
    <x v="50"/>
    <x v="5"/>
    <x v="2"/>
    <x v="1"/>
    <x v="414"/>
    <x v="10"/>
    <x v="0"/>
    <n v="710.06"/>
    <n v="851.349999999999"/>
    <x v="0"/>
    <x v="14"/>
    <x v="1"/>
    <s v="Online"/>
    <x v="5"/>
    <x v="413"/>
  </r>
  <r>
    <x v="97"/>
    <x v="64"/>
    <x v="0"/>
    <x v="2"/>
    <x v="415"/>
    <x v="23"/>
    <x v="1"/>
    <n v="1250.5899999999999"/>
    <n v="1515.48999999999"/>
    <x v="0"/>
    <x v="5"/>
    <x v="1"/>
    <s v="Retail"/>
    <x v="3"/>
    <x v="414"/>
  </r>
  <r>
    <x v="11"/>
    <x v="241"/>
    <x v="1"/>
    <x v="3"/>
    <x v="416"/>
    <x v="4"/>
    <x v="2"/>
    <n v="1493.88"/>
    <n v="1781.09"/>
    <x v="1"/>
    <x v="14"/>
    <x v="0"/>
    <s v="Retail"/>
    <x v="16"/>
    <x v="415"/>
  </r>
  <r>
    <x v="81"/>
    <x v="0"/>
    <x v="0"/>
    <x v="0"/>
    <x v="417"/>
    <x v="31"/>
    <x v="2"/>
    <n v="4625.33"/>
    <n v="4642.83"/>
    <x v="1"/>
    <x v="27"/>
    <x v="2"/>
    <s v="Online"/>
    <x v="0"/>
    <x v="416"/>
  </r>
  <r>
    <x v="19"/>
    <x v="172"/>
    <x v="0"/>
    <x v="2"/>
    <x v="418"/>
    <x v="45"/>
    <x v="3"/>
    <n v="1190.4100000000001"/>
    <n v="1582.89"/>
    <x v="1"/>
    <x v="3"/>
    <x v="2"/>
    <s v="Retail"/>
    <x v="3"/>
    <x v="417"/>
  </r>
  <r>
    <x v="34"/>
    <x v="98"/>
    <x v="4"/>
    <x v="0"/>
    <x v="419"/>
    <x v="14"/>
    <x v="2"/>
    <n v="1481.76"/>
    <n v="1668.95"/>
    <x v="0"/>
    <x v="7"/>
    <x v="2"/>
    <s v="Retail"/>
    <x v="15"/>
    <x v="418"/>
  </r>
  <r>
    <x v="84"/>
    <x v="115"/>
    <x v="0"/>
    <x v="2"/>
    <x v="420"/>
    <x v="26"/>
    <x v="3"/>
    <n v="1878.3"/>
    <n v="2087.4499999999998"/>
    <x v="1"/>
    <x v="8"/>
    <x v="1"/>
    <s v="Retail"/>
    <x v="3"/>
    <x v="419"/>
  </r>
  <r>
    <x v="49"/>
    <x v="85"/>
    <x v="4"/>
    <x v="3"/>
    <x v="421"/>
    <x v="18"/>
    <x v="1"/>
    <n v="3335.53"/>
    <n v="3742.12"/>
    <x v="1"/>
    <x v="21"/>
    <x v="1"/>
    <s v="Retail"/>
    <x v="18"/>
    <x v="420"/>
  </r>
  <r>
    <x v="64"/>
    <x v="202"/>
    <x v="3"/>
    <x v="1"/>
    <x v="422"/>
    <x v="28"/>
    <x v="2"/>
    <n v="635.28"/>
    <n v="831.13"/>
    <x v="0"/>
    <x v="22"/>
    <x v="1"/>
    <s v="Retail"/>
    <x v="8"/>
    <x v="421"/>
  </r>
  <r>
    <x v="94"/>
    <x v="167"/>
    <x v="4"/>
    <x v="2"/>
    <x v="423"/>
    <x v="19"/>
    <x v="0"/>
    <n v="4772.03"/>
    <n v="4805.17"/>
    <x v="0"/>
    <x v="24"/>
    <x v="1"/>
    <s v="Online"/>
    <x v="9"/>
    <x v="422"/>
  </r>
  <r>
    <x v="65"/>
    <x v="242"/>
    <x v="1"/>
    <x v="1"/>
    <x v="424"/>
    <x v="0"/>
    <x v="1"/>
    <n v="4334.58"/>
    <n v="4431.04"/>
    <x v="1"/>
    <x v="3"/>
    <x v="1"/>
    <s v="Retail"/>
    <x v="13"/>
    <x v="423"/>
  </r>
  <r>
    <x v="45"/>
    <x v="182"/>
    <x v="4"/>
    <x v="2"/>
    <x v="425"/>
    <x v="37"/>
    <x v="3"/>
    <n v="2907.22"/>
    <n v="3385.6099999999901"/>
    <x v="1"/>
    <x v="9"/>
    <x v="0"/>
    <s v="Online"/>
    <x v="9"/>
    <x v="424"/>
  </r>
  <r>
    <x v="93"/>
    <x v="243"/>
    <x v="3"/>
    <x v="0"/>
    <x v="426"/>
    <x v="36"/>
    <x v="1"/>
    <n v="3386.49"/>
    <n v="3430.99"/>
    <x v="1"/>
    <x v="5"/>
    <x v="1"/>
    <s v="Retail"/>
    <x v="7"/>
    <x v="425"/>
  </r>
  <r>
    <x v="39"/>
    <x v="163"/>
    <x v="1"/>
    <x v="0"/>
    <x v="427"/>
    <x v="14"/>
    <x v="3"/>
    <n v="132.47"/>
    <n v="316.39"/>
    <x v="1"/>
    <x v="6"/>
    <x v="2"/>
    <s v="Online"/>
    <x v="11"/>
    <x v="426"/>
  </r>
  <r>
    <x v="21"/>
    <x v="155"/>
    <x v="2"/>
    <x v="2"/>
    <x v="428"/>
    <x v="18"/>
    <x v="1"/>
    <n v="1727.78"/>
    <n v="1984.34"/>
    <x v="0"/>
    <x v="19"/>
    <x v="1"/>
    <s v="Online"/>
    <x v="10"/>
    <x v="427"/>
  </r>
  <r>
    <x v="7"/>
    <x v="39"/>
    <x v="2"/>
    <x v="1"/>
    <x v="429"/>
    <x v="15"/>
    <x v="3"/>
    <n v="3988.52"/>
    <n v="4240.2299999999996"/>
    <x v="1"/>
    <x v="8"/>
    <x v="2"/>
    <s v="Online"/>
    <x v="5"/>
    <x v="428"/>
  </r>
  <r>
    <x v="2"/>
    <x v="244"/>
    <x v="4"/>
    <x v="3"/>
    <x v="430"/>
    <x v="12"/>
    <x v="2"/>
    <n v="433.54"/>
    <n v="445.48"/>
    <x v="1"/>
    <x v="12"/>
    <x v="1"/>
    <s v="Retail"/>
    <x v="18"/>
    <x v="429"/>
  </r>
  <r>
    <x v="28"/>
    <x v="74"/>
    <x v="4"/>
    <x v="3"/>
    <x v="431"/>
    <x v="20"/>
    <x v="0"/>
    <n v="1447.45"/>
    <n v="1703.02"/>
    <x v="0"/>
    <x v="7"/>
    <x v="1"/>
    <s v="Retail"/>
    <x v="18"/>
    <x v="430"/>
  </r>
  <r>
    <x v="92"/>
    <x v="238"/>
    <x v="3"/>
    <x v="0"/>
    <x v="432"/>
    <x v="47"/>
    <x v="3"/>
    <n v="2947.22"/>
    <n v="3145.27"/>
    <x v="1"/>
    <x v="15"/>
    <x v="2"/>
    <s v="Retail"/>
    <x v="7"/>
    <x v="431"/>
  </r>
  <r>
    <x v="83"/>
    <x v="245"/>
    <x v="3"/>
    <x v="3"/>
    <x v="433"/>
    <x v="20"/>
    <x v="1"/>
    <n v="1319.24"/>
    <n v="1805.56"/>
    <x v="1"/>
    <x v="16"/>
    <x v="2"/>
    <s v="Retail"/>
    <x v="14"/>
    <x v="432"/>
  </r>
  <r>
    <x v="82"/>
    <x v="104"/>
    <x v="0"/>
    <x v="0"/>
    <x v="434"/>
    <x v="18"/>
    <x v="3"/>
    <n v="4673.1899999999996"/>
    <n v="4761.1799999999903"/>
    <x v="0"/>
    <x v="22"/>
    <x v="2"/>
    <s v="Retail"/>
    <x v="0"/>
    <x v="433"/>
  </r>
  <r>
    <x v="7"/>
    <x v="117"/>
    <x v="3"/>
    <x v="3"/>
    <x v="435"/>
    <x v="2"/>
    <x v="3"/>
    <n v="698.74"/>
    <n v="882.28"/>
    <x v="0"/>
    <x v="25"/>
    <x v="2"/>
    <s v="Online"/>
    <x v="14"/>
    <x v="434"/>
  </r>
  <r>
    <x v="53"/>
    <x v="46"/>
    <x v="0"/>
    <x v="2"/>
    <x v="436"/>
    <x v="44"/>
    <x v="3"/>
    <n v="3997.1"/>
    <n v="4212.6499999999996"/>
    <x v="1"/>
    <x v="20"/>
    <x v="0"/>
    <s v="Online"/>
    <x v="3"/>
    <x v="435"/>
  </r>
  <r>
    <x v="74"/>
    <x v="246"/>
    <x v="1"/>
    <x v="0"/>
    <x v="437"/>
    <x v="40"/>
    <x v="1"/>
    <n v="2564.35"/>
    <n v="2765.79"/>
    <x v="0"/>
    <x v="22"/>
    <x v="2"/>
    <s v="Online"/>
    <x v="11"/>
    <x v="436"/>
  </r>
  <r>
    <x v="32"/>
    <x v="247"/>
    <x v="4"/>
    <x v="0"/>
    <x v="438"/>
    <x v="24"/>
    <x v="0"/>
    <n v="3764.14"/>
    <n v="4100.3999999999996"/>
    <x v="0"/>
    <x v="8"/>
    <x v="1"/>
    <s v="Retail"/>
    <x v="15"/>
    <x v="437"/>
  </r>
  <r>
    <x v="97"/>
    <x v="248"/>
    <x v="1"/>
    <x v="2"/>
    <x v="439"/>
    <x v="27"/>
    <x v="2"/>
    <n v="1588.04"/>
    <n v="1703.6399999999901"/>
    <x v="1"/>
    <x v="2"/>
    <x v="1"/>
    <s v="Retail"/>
    <x v="2"/>
    <x v="438"/>
  </r>
  <r>
    <x v="22"/>
    <x v="249"/>
    <x v="3"/>
    <x v="0"/>
    <x v="440"/>
    <x v="10"/>
    <x v="0"/>
    <n v="2596.7199999999998"/>
    <n v="2715.0499999999902"/>
    <x v="0"/>
    <x v="14"/>
    <x v="0"/>
    <s v="Online"/>
    <x v="7"/>
    <x v="439"/>
  </r>
  <r>
    <x v="53"/>
    <x v="75"/>
    <x v="1"/>
    <x v="3"/>
    <x v="441"/>
    <x v="20"/>
    <x v="3"/>
    <n v="4291.33"/>
    <n v="4658.6400000000003"/>
    <x v="1"/>
    <x v="19"/>
    <x v="2"/>
    <s v="Retail"/>
    <x v="16"/>
    <x v="440"/>
  </r>
  <r>
    <x v="30"/>
    <x v="250"/>
    <x v="1"/>
    <x v="3"/>
    <x v="442"/>
    <x v="44"/>
    <x v="1"/>
    <n v="2361.0500000000002"/>
    <n v="2616.19"/>
    <x v="1"/>
    <x v="23"/>
    <x v="1"/>
    <s v="Retail"/>
    <x v="16"/>
    <x v="441"/>
  </r>
  <r>
    <x v="13"/>
    <x v="147"/>
    <x v="1"/>
    <x v="0"/>
    <x v="443"/>
    <x v="15"/>
    <x v="0"/>
    <n v="1830.61"/>
    <n v="2044.04"/>
    <x v="1"/>
    <x v="1"/>
    <x v="0"/>
    <s v="Online"/>
    <x v="11"/>
    <x v="442"/>
  </r>
  <r>
    <x v="22"/>
    <x v="251"/>
    <x v="3"/>
    <x v="3"/>
    <x v="444"/>
    <x v="28"/>
    <x v="3"/>
    <n v="2703.97"/>
    <n v="2796.8799999999901"/>
    <x v="1"/>
    <x v="9"/>
    <x v="1"/>
    <s v="Online"/>
    <x v="14"/>
    <x v="443"/>
  </r>
  <r>
    <x v="22"/>
    <x v="252"/>
    <x v="1"/>
    <x v="1"/>
    <x v="445"/>
    <x v="31"/>
    <x v="2"/>
    <n v="3600.95"/>
    <n v="3702.8399999999901"/>
    <x v="0"/>
    <x v="30"/>
    <x v="0"/>
    <s v="Retail"/>
    <x v="13"/>
    <x v="444"/>
  </r>
  <r>
    <x v="74"/>
    <x v="253"/>
    <x v="0"/>
    <x v="0"/>
    <x v="446"/>
    <x v="7"/>
    <x v="2"/>
    <n v="2245.64"/>
    <n v="2260.81"/>
    <x v="1"/>
    <x v="11"/>
    <x v="0"/>
    <s v="Retail"/>
    <x v="0"/>
    <x v="445"/>
  </r>
  <r>
    <x v="24"/>
    <x v="138"/>
    <x v="3"/>
    <x v="2"/>
    <x v="447"/>
    <x v="2"/>
    <x v="2"/>
    <n v="4697.4399999999996"/>
    <n v="4752.24"/>
    <x v="1"/>
    <x v="24"/>
    <x v="2"/>
    <s v="Online"/>
    <x v="6"/>
    <x v="446"/>
  </r>
  <r>
    <x v="0"/>
    <x v="9"/>
    <x v="1"/>
    <x v="1"/>
    <x v="448"/>
    <x v="36"/>
    <x v="3"/>
    <n v="1509.98"/>
    <n v="1792.83"/>
    <x v="1"/>
    <x v="14"/>
    <x v="0"/>
    <s v="Retail"/>
    <x v="13"/>
    <x v="447"/>
  </r>
  <r>
    <x v="27"/>
    <x v="157"/>
    <x v="3"/>
    <x v="0"/>
    <x v="449"/>
    <x v="44"/>
    <x v="1"/>
    <n v="2403.54"/>
    <n v="2850.56"/>
    <x v="1"/>
    <x v="9"/>
    <x v="1"/>
    <s v="Online"/>
    <x v="7"/>
    <x v="448"/>
  </r>
  <r>
    <x v="86"/>
    <x v="165"/>
    <x v="2"/>
    <x v="2"/>
    <x v="450"/>
    <x v="28"/>
    <x v="0"/>
    <n v="3796.79"/>
    <n v="3947.5"/>
    <x v="0"/>
    <x v="19"/>
    <x v="1"/>
    <s v="Online"/>
    <x v="10"/>
    <x v="449"/>
  </r>
  <r>
    <x v="2"/>
    <x v="91"/>
    <x v="0"/>
    <x v="3"/>
    <x v="451"/>
    <x v="22"/>
    <x v="2"/>
    <n v="3461.15"/>
    <n v="3631.75"/>
    <x v="0"/>
    <x v="29"/>
    <x v="2"/>
    <s v="Online"/>
    <x v="12"/>
    <x v="450"/>
  </r>
  <r>
    <x v="52"/>
    <x v="87"/>
    <x v="1"/>
    <x v="2"/>
    <x v="452"/>
    <x v="10"/>
    <x v="3"/>
    <n v="4325.0200000000004"/>
    <n v="4391.67"/>
    <x v="0"/>
    <x v="28"/>
    <x v="2"/>
    <s v="Retail"/>
    <x v="2"/>
    <x v="451"/>
  </r>
  <r>
    <x v="19"/>
    <x v="142"/>
    <x v="2"/>
    <x v="1"/>
    <x v="453"/>
    <x v="24"/>
    <x v="3"/>
    <n v="4984.21"/>
    <n v="5184.6400000000003"/>
    <x v="1"/>
    <x v="22"/>
    <x v="0"/>
    <s v="Online"/>
    <x v="5"/>
    <x v="452"/>
  </r>
  <r>
    <x v="85"/>
    <x v="254"/>
    <x v="2"/>
    <x v="3"/>
    <x v="454"/>
    <x v="15"/>
    <x v="0"/>
    <n v="2162.9499999999998"/>
    <n v="2191.1899999999901"/>
    <x v="0"/>
    <x v="2"/>
    <x v="2"/>
    <s v="Online"/>
    <x v="4"/>
    <x v="453"/>
  </r>
  <r>
    <x v="45"/>
    <x v="55"/>
    <x v="3"/>
    <x v="0"/>
    <x v="455"/>
    <x v="22"/>
    <x v="2"/>
    <n v="600.20000000000005"/>
    <n v="1059.82"/>
    <x v="0"/>
    <x v="12"/>
    <x v="1"/>
    <s v="Retail"/>
    <x v="7"/>
    <x v="454"/>
  </r>
  <r>
    <x v="14"/>
    <x v="255"/>
    <x v="2"/>
    <x v="3"/>
    <x v="456"/>
    <x v="23"/>
    <x v="3"/>
    <n v="200.56"/>
    <n v="540.38"/>
    <x v="1"/>
    <x v="13"/>
    <x v="1"/>
    <s v="Online"/>
    <x v="4"/>
    <x v="455"/>
  </r>
  <r>
    <x v="19"/>
    <x v="105"/>
    <x v="0"/>
    <x v="0"/>
    <x v="457"/>
    <x v="23"/>
    <x v="0"/>
    <n v="3648.04"/>
    <n v="4143.51"/>
    <x v="0"/>
    <x v="22"/>
    <x v="2"/>
    <s v="Retail"/>
    <x v="0"/>
    <x v="456"/>
  </r>
  <r>
    <x v="68"/>
    <x v="256"/>
    <x v="0"/>
    <x v="0"/>
    <x v="458"/>
    <x v="9"/>
    <x v="1"/>
    <n v="4376.37"/>
    <n v="4818.95"/>
    <x v="1"/>
    <x v="11"/>
    <x v="2"/>
    <s v="Retail"/>
    <x v="0"/>
    <x v="457"/>
  </r>
  <r>
    <x v="89"/>
    <x v="257"/>
    <x v="4"/>
    <x v="2"/>
    <x v="459"/>
    <x v="9"/>
    <x v="1"/>
    <n v="1142.53"/>
    <n v="1384.3"/>
    <x v="0"/>
    <x v="3"/>
    <x v="2"/>
    <s v="Retail"/>
    <x v="9"/>
    <x v="458"/>
  </r>
  <r>
    <x v="51"/>
    <x v="250"/>
    <x v="0"/>
    <x v="2"/>
    <x v="460"/>
    <x v="33"/>
    <x v="1"/>
    <n v="834.32"/>
    <n v="1098.97"/>
    <x v="0"/>
    <x v="22"/>
    <x v="0"/>
    <s v="Online"/>
    <x v="3"/>
    <x v="459"/>
  </r>
  <r>
    <x v="78"/>
    <x v="238"/>
    <x v="2"/>
    <x v="2"/>
    <x v="461"/>
    <x v="27"/>
    <x v="2"/>
    <n v="357.92"/>
    <n v="461.3"/>
    <x v="0"/>
    <x v="24"/>
    <x v="0"/>
    <s v="Online"/>
    <x v="10"/>
    <x v="460"/>
  </r>
  <r>
    <x v="79"/>
    <x v="164"/>
    <x v="0"/>
    <x v="1"/>
    <x v="462"/>
    <x v="48"/>
    <x v="0"/>
    <n v="4122.38"/>
    <n v="4358.78"/>
    <x v="0"/>
    <x v="16"/>
    <x v="1"/>
    <s v="Retail"/>
    <x v="1"/>
    <x v="461"/>
  </r>
  <r>
    <x v="31"/>
    <x v="1"/>
    <x v="3"/>
    <x v="1"/>
    <x v="463"/>
    <x v="1"/>
    <x v="0"/>
    <n v="1591.34"/>
    <n v="2043.82"/>
    <x v="1"/>
    <x v="12"/>
    <x v="0"/>
    <s v="Retail"/>
    <x v="8"/>
    <x v="462"/>
  </r>
  <r>
    <x v="73"/>
    <x v="26"/>
    <x v="4"/>
    <x v="2"/>
    <x v="464"/>
    <x v="39"/>
    <x v="3"/>
    <n v="2038.4"/>
    <n v="2073.3200000000002"/>
    <x v="1"/>
    <x v="28"/>
    <x v="0"/>
    <s v="Retail"/>
    <x v="9"/>
    <x v="463"/>
  </r>
  <r>
    <x v="33"/>
    <x v="234"/>
    <x v="2"/>
    <x v="1"/>
    <x v="465"/>
    <x v="26"/>
    <x v="3"/>
    <n v="2538.61"/>
    <n v="2971.75"/>
    <x v="0"/>
    <x v="19"/>
    <x v="0"/>
    <s v="Online"/>
    <x v="5"/>
    <x v="464"/>
  </r>
  <r>
    <x v="58"/>
    <x v="83"/>
    <x v="4"/>
    <x v="3"/>
    <x v="466"/>
    <x v="31"/>
    <x v="3"/>
    <n v="4205.29"/>
    <n v="4382.3500000000004"/>
    <x v="1"/>
    <x v="26"/>
    <x v="0"/>
    <s v="Retail"/>
    <x v="18"/>
    <x v="465"/>
  </r>
  <r>
    <x v="0"/>
    <x v="258"/>
    <x v="2"/>
    <x v="3"/>
    <x v="467"/>
    <x v="0"/>
    <x v="0"/>
    <n v="3271.62"/>
    <n v="3722.38"/>
    <x v="0"/>
    <x v="27"/>
    <x v="1"/>
    <s v="Retail"/>
    <x v="4"/>
    <x v="466"/>
  </r>
  <r>
    <x v="93"/>
    <x v="15"/>
    <x v="3"/>
    <x v="1"/>
    <x v="468"/>
    <x v="23"/>
    <x v="3"/>
    <n v="3094.57"/>
    <n v="3565.6"/>
    <x v="0"/>
    <x v="15"/>
    <x v="2"/>
    <s v="Retail"/>
    <x v="8"/>
    <x v="467"/>
  </r>
  <r>
    <x v="81"/>
    <x v="259"/>
    <x v="4"/>
    <x v="1"/>
    <x v="469"/>
    <x v="25"/>
    <x v="0"/>
    <n v="919.58"/>
    <n v="1258.3"/>
    <x v="0"/>
    <x v="6"/>
    <x v="1"/>
    <s v="Online"/>
    <x v="17"/>
    <x v="468"/>
  </r>
  <r>
    <x v="16"/>
    <x v="33"/>
    <x v="1"/>
    <x v="3"/>
    <x v="470"/>
    <x v="37"/>
    <x v="0"/>
    <n v="2590.29"/>
    <n v="2925.86"/>
    <x v="0"/>
    <x v="16"/>
    <x v="0"/>
    <s v="Retail"/>
    <x v="16"/>
    <x v="469"/>
  </r>
  <r>
    <x v="88"/>
    <x v="208"/>
    <x v="2"/>
    <x v="0"/>
    <x v="471"/>
    <x v="0"/>
    <x v="1"/>
    <n v="3591.14"/>
    <n v="3822.99"/>
    <x v="0"/>
    <x v="0"/>
    <x v="2"/>
    <s v="Online"/>
    <x v="19"/>
    <x v="470"/>
  </r>
  <r>
    <x v="90"/>
    <x v="141"/>
    <x v="1"/>
    <x v="3"/>
    <x v="472"/>
    <x v="22"/>
    <x v="3"/>
    <n v="4867.6400000000003"/>
    <n v="5287.05"/>
    <x v="0"/>
    <x v="24"/>
    <x v="2"/>
    <s v="Online"/>
    <x v="16"/>
    <x v="471"/>
  </r>
  <r>
    <x v="53"/>
    <x v="257"/>
    <x v="4"/>
    <x v="3"/>
    <x v="473"/>
    <x v="42"/>
    <x v="1"/>
    <n v="1046.96"/>
    <n v="1528.15"/>
    <x v="1"/>
    <x v="17"/>
    <x v="2"/>
    <s v="Retail"/>
    <x v="18"/>
    <x v="472"/>
  </r>
  <r>
    <x v="88"/>
    <x v="169"/>
    <x v="1"/>
    <x v="1"/>
    <x v="474"/>
    <x v="25"/>
    <x v="2"/>
    <n v="97.24"/>
    <n v="487.03"/>
    <x v="1"/>
    <x v="20"/>
    <x v="1"/>
    <s v="Retail"/>
    <x v="13"/>
    <x v="473"/>
  </r>
  <r>
    <x v="28"/>
    <x v="181"/>
    <x v="1"/>
    <x v="3"/>
    <x v="475"/>
    <x v="32"/>
    <x v="2"/>
    <n v="422.74"/>
    <n v="737.49"/>
    <x v="0"/>
    <x v="27"/>
    <x v="2"/>
    <s v="Retail"/>
    <x v="16"/>
    <x v="474"/>
  </r>
  <r>
    <x v="22"/>
    <x v="13"/>
    <x v="4"/>
    <x v="1"/>
    <x v="476"/>
    <x v="16"/>
    <x v="2"/>
    <n v="1910.47"/>
    <n v="2217.8000000000002"/>
    <x v="1"/>
    <x v="20"/>
    <x v="1"/>
    <s v="Online"/>
    <x v="17"/>
    <x v="475"/>
  </r>
  <r>
    <x v="33"/>
    <x v="233"/>
    <x v="3"/>
    <x v="1"/>
    <x v="477"/>
    <x v="8"/>
    <x v="0"/>
    <n v="4111.7"/>
    <n v="4537.9399999999996"/>
    <x v="0"/>
    <x v="9"/>
    <x v="1"/>
    <s v="Online"/>
    <x v="8"/>
    <x v="476"/>
  </r>
  <r>
    <x v="41"/>
    <x v="168"/>
    <x v="1"/>
    <x v="2"/>
    <x v="478"/>
    <x v="20"/>
    <x v="0"/>
    <n v="85.35"/>
    <n v="360.539999999999"/>
    <x v="1"/>
    <x v="24"/>
    <x v="0"/>
    <s v="Online"/>
    <x v="2"/>
    <x v="477"/>
  </r>
  <r>
    <x v="41"/>
    <x v="260"/>
    <x v="1"/>
    <x v="3"/>
    <x v="479"/>
    <x v="20"/>
    <x v="0"/>
    <n v="2310.8200000000002"/>
    <n v="2714.71"/>
    <x v="1"/>
    <x v="27"/>
    <x v="0"/>
    <s v="Retail"/>
    <x v="16"/>
    <x v="478"/>
  </r>
  <r>
    <x v="30"/>
    <x v="233"/>
    <x v="3"/>
    <x v="0"/>
    <x v="480"/>
    <x v="10"/>
    <x v="3"/>
    <n v="1679.69"/>
    <n v="1939.04"/>
    <x v="1"/>
    <x v="0"/>
    <x v="2"/>
    <s v="Online"/>
    <x v="7"/>
    <x v="479"/>
  </r>
  <r>
    <x v="71"/>
    <x v="87"/>
    <x v="1"/>
    <x v="2"/>
    <x v="481"/>
    <x v="31"/>
    <x v="1"/>
    <n v="309.77999999999997"/>
    <n v="350.38"/>
    <x v="0"/>
    <x v="27"/>
    <x v="2"/>
    <s v="Retail"/>
    <x v="2"/>
    <x v="480"/>
  </r>
  <r>
    <x v="40"/>
    <x v="172"/>
    <x v="1"/>
    <x v="1"/>
    <x v="482"/>
    <x v="26"/>
    <x v="0"/>
    <n v="2278.67"/>
    <n v="2476.8000000000002"/>
    <x v="1"/>
    <x v="0"/>
    <x v="0"/>
    <s v="Retail"/>
    <x v="13"/>
    <x v="481"/>
  </r>
  <r>
    <x v="70"/>
    <x v="261"/>
    <x v="1"/>
    <x v="1"/>
    <x v="483"/>
    <x v="4"/>
    <x v="1"/>
    <n v="1311.01"/>
    <n v="1538.79"/>
    <x v="0"/>
    <x v="0"/>
    <x v="1"/>
    <s v="Retail"/>
    <x v="13"/>
    <x v="482"/>
  </r>
  <r>
    <x v="66"/>
    <x v="262"/>
    <x v="0"/>
    <x v="0"/>
    <x v="484"/>
    <x v="41"/>
    <x v="1"/>
    <n v="1791.83"/>
    <n v="1871.22"/>
    <x v="0"/>
    <x v="7"/>
    <x v="1"/>
    <s v="Online"/>
    <x v="0"/>
    <x v="483"/>
  </r>
  <r>
    <x v="22"/>
    <x v="263"/>
    <x v="3"/>
    <x v="1"/>
    <x v="485"/>
    <x v="3"/>
    <x v="1"/>
    <n v="3542.8"/>
    <n v="3603.02"/>
    <x v="0"/>
    <x v="16"/>
    <x v="0"/>
    <s v="Online"/>
    <x v="8"/>
    <x v="484"/>
  </r>
  <r>
    <x v="66"/>
    <x v="106"/>
    <x v="1"/>
    <x v="3"/>
    <x v="486"/>
    <x v="39"/>
    <x v="3"/>
    <n v="2631.68"/>
    <n v="2904.06"/>
    <x v="1"/>
    <x v="25"/>
    <x v="1"/>
    <s v="Online"/>
    <x v="16"/>
    <x v="485"/>
  </r>
  <r>
    <x v="54"/>
    <x v="5"/>
    <x v="3"/>
    <x v="2"/>
    <x v="487"/>
    <x v="42"/>
    <x v="3"/>
    <n v="667"/>
    <n v="718.72"/>
    <x v="1"/>
    <x v="2"/>
    <x v="0"/>
    <s v="Retail"/>
    <x v="6"/>
    <x v="486"/>
  </r>
  <r>
    <x v="78"/>
    <x v="170"/>
    <x v="2"/>
    <x v="1"/>
    <x v="488"/>
    <x v="30"/>
    <x v="2"/>
    <n v="4809"/>
    <n v="4967.4399999999996"/>
    <x v="1"/>
    <x v="7"/>
    <x v="0"/>
    <s v="Online"/>
    <x v="5"/>
    <x v="487"/>
  </r>
  <r>
    <x v="57"/>
    <x v="118"/>
    <x v="2"/>
    <x v="1"/>
    <x v="489"/>
    <x v="30"/>
    <x v="2"/>
    <n v="3197.76"/>
    <n v="3572.61"/>
    <x v="0"/>
    <x v="4"/>
    <x v="2"/>
    <s v="Online"/>
    <x v="5"/>
    <x v="488"/>
  </r>
  <r>
    <x v="23"/>
    <x v="96"/>
    <x v="1"/>
    <x v="0"/>
    <x v="490"/>
    <x v="13"/>
    <x v="1"/>
    <n v="3841.05"/>
    <n v="4323.62"/>
    <x v="0"/>
    <x v="12"/>
    <x v="2"/>
    <s v="Retail"/>
    <x v="11"/>
    <x v="489"/>
  </r>
  <r>
    <x v="66"/>
    <x v="198"/>
    <x v="3"/>
    <x v="3"/>
    <x v="491"/>
    <x v="29"/>
    <x v="2"/>
    <n v="442.11"/>
    <n v="803.87"/>
    <x v="1"/>
    <x v="13"/>
    <x v="0"/>
    <s v="Retail"/>
    <x v="14"/>
    <x v="490"/>
  </r>
  <r>
    <x v="93"/>
    <x v="14"/>
    <x v="3"/>
    <x v="1"/>
    <x v="492"/>
    <x v="48"/>
    <x v="1"/>
    <n v="282.94"/>
    <n v="779.32999999999902"/>
    <x v="0"/>
    <x v="24"/>
    <x v="2"/>
    <s v="Online"/>
    <x v="8"/>
    <x v="491"/>
  </r>
  <r>
    <x v="4"/>
    <x v="264"/>
    <x v="3"/>
    <x v="0"/>
    <x v="493"/>
    <x v="20"/>
    <x v="3"/>
    <n v="146.27000000000001"/>
    <n v="498.46"/>
    <x v="1"/>
    <x v="18"/>
    <x v="0"/>
    <s v="Retail"/>
    <x v="7"/>
    <x v="492"/>
  </r>
  <r>
    <x v="18"/>
    <x v="72"/>
    <x v="0"/>
    <x v="1"/>
    <x v="494"/>
    <x v="7"/>
    <x v="3"/>
    <n v="984.53"/>
    <n v="1138.49"/>
    <x v="1"/>
    <x v="14"/>
    <x v="1"/>
    <s v="Online"/>
    <x v="1"/>
    <x v="493"/>
  </r>
  <r>
    <x v="53"/>
    <x v="265"/>
    <x v="2"/>
    <x v="0"/>
    <x v="495"/>
    <x v="11"/>
    <x v="3"/>
    <n v="2101.3200000000002"/>
    <n v="2440.63"/>
    <x v="1"/>
    <x v="16"/>
    <x v="1"/>
    <s v="Retail"/>
    <x v="19"/>
    <x v="494"/>
  </r>
  <r>
    <x v="91"/>
    <x v="266"/>
    <x v="3"/>
    <x v="0"/>
    <x v="496"/>
    <x v="26"/>
    <x v="0"/>
    <n v="4682.34"/>
    <n v="5036.3999999999996"/>
    <x v="1"/>
    <x v="2"/>
    <x v="1"/>
    <s v="Retail"/>
    <x v="7"/>
    <x v="495"/>
  </r>
  <r>
    <x v="13"/>
    <x v="267"/>
    <x v="3"/>
    <x v="3"/>
    <x v="497"/>
    <x v="4"/>
    <x v="1"/>
    <n v="2312.4499999999998"/>
    <n v="2504.6"/>
    <x v="0"/>
    <x v="18"/>
    <x v="1"/>
    <s v="Online"/>
    <x v="14"/>
    <x v="496"/>
  </r>
  <r>
    <x v="1"/>
    <x v="51"/>
    <x v="0"/>
    <x v="1"/>
    <x v="498"/>
    <x v="8"/>
    <x v="3"/>
    <n v="1486.76"/>
    <n v="1505.44"/>
    <x v="1"/>
    <x v="4"/>
    <x v="0"/>
    <s v="Retail"/>
    <x v="1"/>
    <x v="497"/>
  </r>
  <r>
    <x v="95"/>
    <x v="6"/>
    <x v="0"/>
    <x v="3"/>
    <x v="499"/>
    <x v="1"/>
    <x v="1"/>
    <n v="2831.58"/>
    <n v="3186.15"/>
    <x v="1"/>
    <x v="19"/>
    <x v="1"/>
    <s v="Retail"/>
    <x v="12"/>
    <x v="498"/>
  </r>
  <r>
    <x v="21"/>
    <x v="268"/>
    <x v="3"/>
    <x v="0"/>
    <x v="500"/>
    <x v="1"/>
    <x v="2"/>
    <n v="604.08000000000004"/>
    <n v="624.71"/>
    <x v="1"/>
    <x v="6"/>
    <x v="1"/>
    <s v="Retail"/>
    <x v="7"/>
    <x v="499"/>
  </r>
  <r>
    <x v="61"/>
    <x v="82"/>
    <x v="4"/>
    <x v="2"/>
    <x v="501"/>
    <x v="43"/>
    <x v="2"/>
    <n v="3067.05"/>
    <n v="3386.33"/>
    <x v="1"/>
    <x v="2"/>
    <x v="1"/>
    <s v="Online"/>
    <x v="9"/>
    <x v="500"/>
  </r>
  <r>
    <x v="93"/>
    <x v="172"/>
    <x v="3"/>
    <x v="1"/>
    <x v="502"/>
    <x v="9"/>
    <x v="3"/>
    <n v="2863.74"/>
    <n v="2953.91"/>
    <x v="1"/>
    <x v="15"/>
    <x v="1"/>
    <s v="Retail"/>
    <x v="8"/>
    <x v="501"/>
  </r>
  <r>
    <x v="32"/>
    <x v="128"/>
    <x v="3"/>
    <x v="2"/>
    <x v="503"/>
    <x v="29"/>
    <x v="1"/>
    <n v="3970.37"/>
    <n v="4257.5199999999904"/>
    <x v="1"/>
    <x v="1"/>
    <x v="0"/>
    <s v="Retail"/>
    <x v="6"/>
    <x v="502"/>
  </r>
  <r>
    <x v="74"/>
    <x v="269"/>
    <x v="0"/>
    <x v="1"/>
    <x v="504"/>
    <x v="47"/>
    <x v="3"/>
    <n v="4934.1000000000004"/>
    <n v="5191.0200000000004"/>
    <x v="1"/>
    <x v="23"/>
    <x v="1"/>
    <s v="Online"/>
    <x v="1"/>
    <x v="503"/>
  </r>
  <r>
    <x v="84"/>
    <x v="27"/>
    <x v="0"/>
    <x v="3"/>
    <x v="505"/>
    <x v="42"/>
    <x v="2"/>
    <n v="1291.82"/>
    <n v="1308.4399999999901"/>
    <x v="0"/>
    <x v="17"/>
    <x v="2"/>
    <s v="Online"/>
    <x v="12"/>
    <x v="504"/>
  </r>
  <r>
    <x v="63"/>
    <x v="131"/>
    <x v="3"/>
    <x v="3"/>
    <x v="506"/>
    <x v="25"/>
    <x v="3"/>
    <n v="2572.8000000000002"/>
    <n v="2760.6"/>
    <x v="0"/>
    <x v="25"/>
    <x v="2"/>
    <s v="Retail"/>
    <x v="14"/>
    <x v="505"/>
  </r>
  <r>
    <x v="47"/>
    <x v="267"/>
    <x v="3"/>
    <x v="3"/>
    <x v="507"/>
    <x v="43"/>
    <x v="1"/>
    <n v="4548.88"/>
    <n v="4853.41"/>
    <x v="0"/>
    <x v="26"/>
    <x v="2"/>
    <s v="Retail"/>
    <x v="14"/>
    <x v="506"/>
  </r>
  <r>
    <x v="28"/>
    <x v="24"/>
    <x v="3"/>
    <x v="3"/>
    <x v="508"/>
    <x v="40"/>
    <x v="2"/>
    <n v="3936.69"/>
    <n v="4362.51"/>
    <x v="0"/>
    <x v="17"/>
    <x v="2"/>
    <s v="Retail"/>
    <x v="14"/>
    <x v="507"/>
  </r>
  <r>
    <x v="91"/>
    <x v="270"/>
    <x v="0"/>
    <x v="3"/>
    <x v="509"/>
    <x v="6"/>
    <x v="0"/>
    <n v="2462.66"/>
    <n v="2908.0899999999901"/>
    <x v="1"/>
    <x v="7"/>
    <x v="2"/>
    <s v="Online"/>
    <x v="12"/>
    <x v="508"/>
  </r>
  <r>
    <x v="31"/>
    <x v="133"/>
    <x v="3"/>
    <x v="2"/>
    <x v="510"/>
    <x v="20"/>
    <x v="2"/>
    <n v="4729.59"/>
    <n v="4976.68"/>
    <x v="0"/>
    <x v="13"/>
    <x v="2"/>
    <s v="Retail"/>
    <x v="6"/>
    <x v="509"/>
  </r>
  <r>
    <x v="79"/>
    <x v="100"/>
    <x v="3"/>
    <x v="3"/>
    <x v="511"/>
    <x v="26"/>
    <x v="0"/>
    <n v="333.32"/>
    <n v="700.25"/>
    <x v="0"/>
    <x v="6"/>
    <x v="0"/>
    <s v="Online"/>
    <x v="14"/>
    <x v="510"/>
  </r>
  <r>
    <x v="30"/>
    <x v="2"/>
    <x v="1"/>
    <x v="0"/>
    <x v="512"/>
    <x v="35"/>
    <x v="3"/>
    <n v="4658.4399999999996"/>
    <n v="4823.5"/>
    <x v="0"/>
    <x v="6"/>
    <x v="2"/>
    <s v="Online"/>
    <x v="11"/>
    <x v="511"/>
  </r>
  <r>
    <x v="91"/>
    <x v="165"/>
    <x v="4"/>
    <x v="0"/>
    <x v="513"/>
    <x v="2"/>
    <x v="3"/>
    <n v="300.01"/>
    <n v="477.67999999999898"/>
    <x v="1"/>
    <x v="1"/>
    <x v="1"/>
    <s v="Retail"/>
    <x v="15"/>
    <x v="512"/>
  </r>
  <r>
    <x v="21"/>
    <x v="228"/>
    <x v="2"/>
    <x v="2"/>
    <x v="514"/>
    <x v="18"/>
    <x v="1"/>
    <n v="2759.16"/>
    <n v="2864.45"/>
    <x v="0"/>
    <x v="13"/>
    <x v="2"/>
    <s v="Retail"/>
    <x v="10"/>
    <x v="513"/>
  </r>
  <r>
    <x v="93"/>
    <x v="186"/>
    <x v="4"/>
    <x v="1"/>
    <x v="515"/>
    <x v="25"/>
    <x v="0"/>
    <n v="4457.68"/>
    <n v="4743.03"/>
    <x v="0"/>
    <x v="27"/>
    <x v="0"/>
    <s v="Online"/>
    <x v="17"/>
    <x v="514"/>
  </r>
  <r>
    <x v="41"/>
    <x v="18"/>
    <x v="1"/>
    <x v="0"/>
    <x v="516"/>
    <x v="28"/>
    <x v="3"/>
    <n v="1350.47"/>
    <n v="1514.61"/>
    <x v="1"/>
    <x v="2"/>
    <x v="2"/>
    <s v="Retail"/>
    <x v="11"/>
    <x v="515"/>
  </r>
  <r>
    <x v="41"/>
    <x v="144"/>
    <x v="2"/>
    <x v="1"/>
    <x v="517"/>
    <x v="15"/>
    <x v="0"/>
    <n v="2387.63"/>
    <n v="2438.9699999999998"/>
    <x v="0"/>
    <x v="3"/>
    <x v="1"/>
    <s v="Retail"/>
    <x v="5"/>
    <x v="516"/>
  </r>
  <r>
    <x v="57"/>
    <x v="170"/>
    <x v="3"/>
    <x v="2"/>
    <x v="518"/>
    <x v="48"/>
    <x v="3"/>
    <n v="1655.43"/>
    <n v="2001.08"/>
    <x v="1"/>
    <x v="27"/>
    <x v="1"/>
    <s v="Online"/>
    <x v="6"/>
    <x v="517"/>
  </r>
  <r>
    <x v="59"/>
    <x v="103"/>
    <x v="1"/>
    <x v="1"/>
    <x v="519"/>
    <x v="27"/>
    <x v="2"/>
    <n v="4763.1099999999997"/>
    <n v="5119.91"/>
    <x v="0"/>
    <x v="12"/>
    <x v="0"/>
    <s v="Retail"/>
    <x v="13"/>
    <x v="518"/>
  </r>
  <r>
    <x v="36"/>
    <x v="245"/>
    <x v="3"/>
    <x v="1"/>
    <x v="520"/>
    <x v="35"/>
    <x v="3"/>
    <n v="4127.05"/>
    <n v="4313.45"/>
    <x v="1"/>
    <x v="28"/>
    <x v="0"/>
    <s v="Online"/>
    <x v="8"/>
    <x v="519"/>
  </r>
  <r>
    <x v="10"/>
    <x v="114"/>
    <x v="0"/>
    <x v="1"/>
    <x v="521"/>
    <x v="6"/>
    <x v="1"/>
    <n v="3559.56"/>
    <n v="3607.15"/>
    <x v="0"/>
    <x v="5"/>
    <x v="0"/>
    <s v="Retail"/>
    <x v="1"/>
    <x v="520"/>
  </r>
  <r>
    <x v="20"/>
    <x v="229"/>
    <x v="1"/>
    <x v="1"/>
    <x v="522"/>
    <x v="45"/>
    <x v="2"/>
    <n v="2958.75"/>
    <n v="3177.64"/>
    <x v="0"/>
    <x v="22"/>
    <x v="0"/>
    <s v="Online"/>
    <x v="13"/>
    <x v="521"/>
  </r>
  <r>
    <x v="79"/>
    <x v="13"/>
    <x v="0"/>
    <x v="2"/>
    <x v="523"/>
    <x v="13"/>
    <x v="1"/>
    <n v="4111.93"/>
    <n v="4338.67"/>
    <x v="0"/>
    <x v="16"/>
    <x v="2"/>
    <s v="Online"/>
    <x v="3"/>
    <x v="522"/>
  </r>
  <r>
    <x v="71"/>
    <x v="45"/>
    <x v="1"/>
    <x v="0"/>
    <x v="524"/>
    <x v="43"/>
    <x v="2"/>
    <n v="1991.72"/>
    <n v="2329.37"/>
    <x v="1"/>
    <x v="24"/>
    <x v="2"/>
    <s v="Retail"/>
    <x v="11"/>
    <x v="523"/>
  </r>
  <r>
    <x v="99"/>
    <x v="57"/>
    <x v="1"/>
    <x v="3"/>
    <x v="525"/>
    <x v="20"/>
    <x v="0"/>
    <n v="2265.38"/>
    <n v="2429.9299999999998"/>
    <x v="0"/>
    <x v="18"/>
    <x v="1"/>
    <s v="Online"/>
    <x v="16"/>
    <x v="524"/>
  </r>
  <r>
    <x v="91"/>
    <x v="108"/>
    <x v="0"/>
    <x v="1"/>
    <x v="526"/>
    <x v="7"/>
    <x v="1"/>
    <n v="3663.51"/>
    <n v="4007.98"/>
    <x v="1"/>
    <x v="9"/>
    <x v="0"/>
    <s v="Online"/>
    <x v="1"/>
    <x v="525"/>
  </r>
  <r>
    <x v="10"/>
    <x v="199"/>
    <x v="2"/>
    <x v="0"/>
    <x v="527"/>
    <x v="12"/>
    <x v="3"/>
    <n v="1820.89"/>
    <n v="2257.92"/>
    <x v="1"/>
    <x v="7"/>
    <x v="0"/>
    <s v="Retail"/>
    <x v="19"/>
    <x v="526"/>
  </r>
  <r>
    <x v="54"/>
    <x v="271"/>
    <x v="4"/>
    <x v="0"/>
    <x v="528"/>
    <x v="4"/>
    <x v="0"/>
    <n v="366.31"/>
    <n v="492.68"/>
    <x v="1"/>
    <x v="7"/>
    <x v="2"/>
    <s v="Retail"/>
    <x v="15"/>
    <x v="527"/>
  </r>
  <r>
    <x v="0"/>
    <x v="272"/>
    <x v="3"/>
    <x v="2"/>
    <x v="529"/>
    <x v="31"/>
    <x v="3"/>
    <n v="417.96"/>
    <n v="907.63"/>
    <x v="1"/>
    <x v="14"/>
    <x v="0"/>
    <s v="Retail"/>
    <x v="6"/>
    <x v="528"/>
  </r>
  <r>
    <x v="56"/>
    <x v="9"/>
    <x v="1"/>
    <x v="0"/>
    <x v="530"/>
    <x v="9"/>
    <x v="2"/>
    <n v="621.04999999999995"/>
    <n v="820.36999999999898"/>
    <x v="0"/>
    <x v="19"/>
    <x v="1"/>
    <s v="Online"/>
    <x v="11"/>
    <x v="529"/>
  </r>
  <r>
    <x v="99"/>
    <x v="126"/>
    <x v="3"/>
    <x v="2"/>
    <x v="531"/>
    <x v="35"/>
    <x v="2"/>
    <n v="4354.92"/>
    <n v="4495.88"/>
    <x v="0"/>
    <x v="30"/>
    <x v="1"/>
    <s v="Online"/>
    <x v="6"/>
    <x v="530"/>
  </r>
  <r>
    <x v="88"/>
    <x v="259"/>
    <x v="0"/>
    <x v="1"/>
    <x v="532"/>
    <x v="30"/>
    <x v="3"/>
    <n v="2387.52"/>
    <n v="2604.06"/>
    <x v="0"/>
    <x v="28"/>
    <x v="0"/>
    <s v="Online"/>
    <x v="1"/>
    <x v="531"/>
  </r>
  <r>
    <x v="22"/>
    <x v="93"/>
    <x v="3"/>
    <x v="1"/>
    <x v="533"/>
    <x v="6"/>
    <x v="3"/>
    <n v="3578.77"/>
    <n v="3635.02"/>
    <x v="1"/>
    <x v="2"/>
    <x v="1"/>
    <s v="Retail"/>
    <x v="8"/>
    <x v="532"/>
  </r>
  <r>
    <x v="78"/>
    <x v="38"/>
    <x v="0"/>
    <x v="3"/>
    <x v="534"/>
    <x v="46"/>
    <x v="0"/>
    <n v="1994.9"/>
    <n v="2066.5"/>
    <x v="0"/>
    <x v="18"/>
    <x v="1"/>
    <s v="Online"/>
    <x v="12"/>
    <x v="533"/>
  </r>
  <r>
    <x v="66"/>
    <x v="167"/>
    <x v="3"/>
    <x v="3"/>
    <x v="535"/>
    <x v="44"/>
    <x v="3"/>
    <n v="1330.62"/>
    <n v="1543.6899999999901"/>
    <x v="1"/>
    <x v="29"/>
    <x v="2"/>
    <s v="Online"/>
    <x v="14"/>
    <x v="534"/>
  </r>
  <r>
    <x v="91"/>
    <x v="212"/>
    <x v="4"/>
    <x v="3"/>
    <x v="536"/>
    <x v="32"/>
    <x v="1"/>
    <n v="1768.6"/>
    <n v="2152.1999999999998"/>
    <x v="1"/>
    <x v="26"/>
    <x v="1"/>
    <s v="Retail"/>
    <x v="18"/>
    <x v="535"/>
  </r>
  <r>
    <x v="38"/>
    <x v="28"/>
    <x v="4"/>
    <x v="0"/>
    <x v="537"/>
    <x v="43"/>
    <x v="1"/>
    <n v="3981.2"/>
    <n v="4432.3499999999904"/>
    <x v="1"/>
    <x v="6"/>
    <x v="0"/>
    <s v="Online"/>
    <x v="15"/>
    <x v="536"/>
  </r>
  <r>
    <x v="93"/>
    <x v="273"/>
    <x v="4"/>
    <x v="1"/>
    <x v="538"/>
    <x v="39"/>
    <x v="3"/>
    <n v="3144.82"/>
    <n v="3480.58"/>
    <x v="0"/>
    <x v="7"/>
    <x v="0"/>
    <s v="Retail"/>
    <x v="17"/>
    <x v="537"/>
  </r>
  <r>
    <x v="11"/>
    <x v="90"/>
    <x v="4"/>
    <x v="2"/>
    <x v="539"/>
    <x v="33"/>
    <x v="1"/>
    <n v="4691.32"/>
    <n v="4752.88"/>
    <x v="0"/>
    <x v="17"/>
    <x v="1"/>
    <s v="Retail"/>
    <x v="9"/>
    <x v="538"/>
  </r>
  <r>
    <x v="29"/>
    <x v="12"/>
    <x v="4"/>
    <x v="3"/>
    <x v="540"/>
    <x v="5"/>
    <x v="3"/>
    <n v="3414.54"/>
    <n v="3753.83"/>
    <x v="1"/>
    <x v="20"/>
    <x v="0"/>
    <s v="Retail"/>
    <x v="18"/>
    <x v="539"/>
  </r>
  <r>
    <x v="15"/>
    <x v="186"/>
    <x v="4"/>
    <x v="2"/>
    <x v="541"/>
    <x v="25"/>
    <x v="0"/>
    <n v="2872.4"/>
    <n v="3193.76"/>
    <x v="0"/>
    <x v="14"/>
    <x v="2"/>
    <s v="Online"/>
    <x v="9"/>
    <x v="540"/>
  </r>
  <r>
    <x v="28"/>
    <x v="218"/>
    <x v="0"/>
    <x v="2"/>
    <x v="542"/>
    <x v="0"/>
    <x v="1"/>
    <n v="3070.47"/>
    <n v="3475.29"/>
    <x v="0"/>
    <x v="2"/>
    <x v="1"/>
    <s v="Online"/>
    <x v="3"/>
    <x v="541"/>
  </r>
  <r>
    <x v="82"/>
    <x v="34"/>
    <x v="1"/>
    <x v="3"/>
    <x v="543"/>
    <x v="47"/>
    <x v="1"/>
    <n v="4714.74"/>
    <n v="5129.1099999999997"/>
    <x v="1"/>
    <x v="26"/>
    <x v="1"/>
    <s v="Online"/>
    <x v="16"/>
    <x v="542"/>
  </r>
  <r>
    <x v="25"/>
    <x v="274"/>
    <x v="3"/>
    <x v="1"/>
    <x v="544"/>
    <x v="43"/>
    <x v="3"/>
    <n v="3951.59"/>
    <n v="4387.01"/>
    <x v="1"/>
    <x v="17"/>
    <x v="1"/>
    <s v="Retail"/>
    <x v="8"/>
    <x v="543"/>
  </r>
  <r>
    <x v="42"/>
    <x v="80"/>
    <x v="4"/>
    <x v="3"/>
    <x v="545"/>
    <x v="2"/>
    <x v="1"/>
    <n v="169"/>
    <n v="381.91999999999899"/>
    <x v="0"/>
    <x v="16"/>
    <x v="0"/>
    <s v="Retail"/>
    <x v="18"/>
    <x v="544"/>
  </r>
  <r>
    <x v="11"/>
    <x v="107"/>
    <x v="0"/>
    <x v="2"/>
    <x v="546"/>
    <x v="27"/>
    <x v="2"/>
    <n v="2693.99"/>
    <n v="3045.9399999999901"/>
    <x v="1"/>
    <x v="30"/>
    <x v="0"/>
    <s v="Retail"/>
    <x v="3"/>
    <x v="545"/>
  </r>
  <r>
    <x v="70"/>
    <x v="130"/>
    <x v="0"/>
    <x v="3"/>
    <x v="547"/>
    <x v="12"/>
    <x v="0"/>
    <n v="3457.28"/>
    <n v="3598.72"/>
    <x v="1"/>
    <x v="29"/>
    <x v="1"/>
    <s v="Online"/>
    <x v="12"/>
    <x v="546"/>
  </r>
  <r>
    <x v="50"/>
    <x v="26"/>
    <x v="0"/>
    <x v="2"/>
    <x v="548"/>
    <x v="18"/>
    <x v="0"/>
    <n v="3756.06"/>
    <n v="4255.7299999999996"/>
    <x v="0"/>
    <x v="14"/>
    <x v="0"/>
    <s v="Online"/>
    <x v="3"/>
    <x v="547"/>
  </r>
  <r>
    <x v="46"/>
    <x v="264"/>
    <x v="1"/>
    <x v="2"/>
    <x v="549"/>
    <x v="24"/>
    <x v="1"/>
    <n v="1105.05"/>
    <n v="1200.96"/>
    <x v="0"/>
    <x v="27"/>
    <x v="0"/>
    <s v="Online"/>
    <x v="2"/>
    <x v="548"/>
  </r>
  <r>
    <x v="20"/>
    <x v="217"/>
    <x v="3"/>
    <x v="3"/>
    <x v="550"/>
    <x v="4"/>
    <x v="1"/>
    <n v="4342.53"/>
    <n v="4357.49"/>
    <x v="1"/>
    <x v="4"/>
    <x v="1"/>
    <s v="Online"/>
    <x v="14"/>
    <x v="549"/>
  </r>
  <r>
    <x v="20"/>
    <x v="275"/>
    <x v="1"/>
    <x v="0"/>
    <x v="551"/>
    <x v="8"/>
    <x v="2"/>
    <n v="4781.42"/>
    <n v="4864.34"/>
    <x v="0"/>
    <x v="26"/>
    <x v="1"/>
    <s v="Online"/>
    <x v="11"/>
    <x v="550"/>
  </r>
  <r>
    <x v="4"/>
    <x v="238"/>
    <x v="2"/>
    <x v="3"/>
    <x v="552"/>
    <x v="6"/>
    <x v="2"/>
    <n v="1221.74"/>
    <n v="1611.92"/>
    <x v="1"/>
    <x v="25"/>
    <x v="0"/>
    <s v="Retail"/>
    <x v="4"/>
    <x v="551"/>
  </r>
  <r>
    <x v="32"/>
    <x v="198"/>
    <x v="0"/>
    <x v="0"/>
    <x v="553"/>
    <x v="43"/>
    <x v="1"/>
    <n v="4418.95"/>
    <n v="4647.87"/>
    <x v="1"/>
    <x v="14"/>
    <x v="1"/>
    <s v="Online"/>
    <x v="0"/>
    <x v="552"/>
  </r>
  <r>
    <x v="80"/>
    <x v="62"/>
    <x v="2"/>
    <x v="2"/>
    <x v="554"/>
    <x v="33"/>
    <x v="1"/>
    <n v="530.04"/>
    <n v="759.31999999999903"/>
    <x v="0"/>
    <x v="22"/>
    <x v="1"/>
    <s v="Retail"/>
    <x v="10"/>
    <x v="553"/>
  </r>
  <r>
    <x v="70"/>
    <x v="151"/>
    <x v="4"/>
    <x v="2"/>
    <x v="555"/>
    <x v="20"/>
    <x v="2"/>
    <n v="325.75"/>
    <n v="803.71"/>
    <x v="1"/>
    <x v="7"/>
    <x v="1"/>
    <s v="Retail"/>
    <x v="9"/>
    <x v="554"/>
  </r>
  <r>
    <x v="95"/>
    <x v="276"/>
    <x v="4"/>
    <x v="0"/>
    <x v="556"/>
    <x v="43"/>
    <x v="3"/>
    <n v="689.66"/>
    <n v="1150.28"/>
    <x v="1"/>
    <x v="2"/>
    <x v="1"/>
    <s v="Online"/>
    <x v="15"/>
    <x v="555"/>
  </r>
  <r>
    <x v="65"/>
    <x v="174"/>
    <x v="1"/>
    <x v="2"/>
    <x v="557"/>
    <x v="14"/>
    <x v="2"/>
    <n v="335.82"/>
    <n v="498.31"/>
    <x v="1"/>
    <x v="16"/>
    <x v="0"/>
    <s v="Retail"/>
    <x v="2"/>
    <x v="556"/>
  </r>
  <r>
    <x v="20"/>
    <x v="118"/>
    <x v="3"/>
    <x v="0"/>
    <x v="558"/>
    <x v="3"/>
    <x v="3"/>
    <n v="4232.8100000000004"/>
    <n v="4345.25"/>
    <x v="0"/>
    <x v="7"/>
    <x v="1"/>
    <s v="Online"/>
    <x v="7"/>
    <x v="557"/>
  </r>
  <r>
    <x v="58"/>
    <x v="120"/>
    <x v="2"/>
    <x v="0"/>
    <x v="559"/>
    <x v="12"/>
    <x v="0"/>
    <n v="342.3"/>
    <n v="768.06"/>
    <x v="0"/>
    <x v="0"/>
    <x v="2"/>
    <s v="Online"/>
    <x v="19"/>
    <x v="558"/>
  </r>
  <r>
    <x v="55"/>
    <x v="21"/>
    <x v="3"/>
    <x v="2"/>
    <x v="560"/>
    <x v="34"/>
    <x v="0"/>
    <n v="1394.74"/>
    <n v="1848.69"/>
    <x v="0"/>
    <x v="11"/>
    <x v="1"/>
    <s v="Retail"/>
    <x v="6"/>
    <x v="559"/>
  </r>
  <r>
    <x v="80"/>
    <x v="89"/>
    <x v="1"/>
    <x v="1"/>
    <x v="561"/>
    <x v="32"/>
    <x v="2"/>
    <n v="563.59"/>
    <n v="838.97"/>
    <x v="1"/>
    <x v="22"/>
    <x v="2"/>
    <s v="Online"/>
    <x v="13"/>
    <x v="560"/>
  </r>
  <r>
    <x v="44"/>
    <x v="150"/>
    <x v="4"/>
    <x v="0"/>
    <x v="562"/>
    <x v="20"/>
    <x v="3"/>
    <n v="1512.34"/>
    <n v="1830.76"/>
    <x v="1"/>
    <x v="7"/>
    <x v="1"/>
    <s v="Online"/>
    <x v="15"/>
    <x v="561"/>
  </r>
  <r>
    <x v="63"/>
    <x v="67"/>
    <x v="3"/>
    <x v="3"/>
    <x v="563"/>
    <x v="13"/>
    <x v="2"/>
    <n v="498.27"/>
    <n v="634.16"/>
    <x v="0"/>
    <x v="1"/>
    <x v="2"/>
    <s v="Retail"/>
    <x v="14"/>
    <x v="562"/>
  </r>
  <r>
    <x v="81"/>
    <x v="271"/>
    <x v="3"/>
    <x v="3"/>
    <x v="564"/>
    <x v="46"/>
    <x v="2"/>
    <n v="3356.62"/>
    <n v="3759.0099999999902"/>
    <x v="0"/>
    <x v="8"/>
    <x v="2"/>
    <s v="Retail"/>
    <x v="14"/>
    <x v="563"/>
  </r>
  <r>
    <x v="70"/>
    <x v="264"/>
    <x v="4"/>
    <x v="2"/>
    <x v="565"/>
    <x v="14"/>
    <x v="3"/>
    <n v="709.97"/>
    <n v="1029.71"/>
    <x v="0"/>
    <x v="9"/>
    <x v="1"/>
    <s v="Retail"/>
    <x v="9"/>
    <x v="564"/>
  </r>
  <r>
    <x v="56"/>
    <x v="27"/>
    <x v="2"/>
    <x v="1"/>
    <x v="566"/>
    <x v="5"/>
    <x v="2"/>
    <n v="4266.6400000000003"/>
    <n v="4523.3599999999997"/>
    <x v="1"/>
    <x v="23"/>
    <x v="1"/>
    <s v="Retail"/>
    <x v="5"/>
    <x v="565"/>
  </r>
  <r>
    <x v="98"/>
    <x v="257"/>
    <x v="4"/>
    <x v="2"/>
    <x v="567"/>
    <x v="41"/>
    <x v="0"/>
    <n v="4095.1"/>
    <n v="4134.55"/>
    <x v="0"/>
    <x v="0"/>
    <x v="1"/>
    <s v="Retail"/>
    <x v="9"/>
    <x v="566"/>
  </r>
  <r>
    <x v="15"/>
    <x v="277"/>
    <x v="3"/>
    <x v="1"/>
    <x v="568"/>
    <x v="0"/>
    <x v="1"/>
    <n v="117.63"/>
    <n v="576.44000000000005"/>
    <x v="1"/>
    <x v="13"/>
    <x v="2"/>
    <s v="Retail"/>
    <x v="8"/>
    <x v="567"/>
  </r>
  <r>
    <x v="46"/>
    <x v="0"/>
    <x v="2"/>
    <x v="0"/>
    <x v="569"/>
    <x v="47"/>
    <x v="1"/>
    <n v="4483.8500000000004"/>
    <n v="4795.42"/>
    <x v="0"/>
    <x v="10"/>
    <x v="0"/>
    <s v="Online"/>
    <x v="19"/>
    <x v="568"/>
  </r>
  <r>
    <x v="7"/>
    <x v="175"/>
    <x v="2"/>
    <x v="0"/>
    <x v="570"/>
    <x v="46"/>
    <x v="2"/>
    <n v="193.27"/>
    <n v="297.69"/>
    <x v="1"/>
    <x v="20"/>
    <x v="0"/>
    <s v="Online"/>
    <x v="19"/>
    <x v="569"/>
  </r>
  <r>
    <x v="48"/>
    <x v="29"/>
    <x v="4"/>
    <x v="0"/>
    <x v="571"/>
    <x v="18"/>
    <x v="3"/>
    <n v="1236.25"/>
    <n v="1543.38"/>
    <x v="1"/>
    <x v="15"/>
    <x v="1"/>
    <s v="Online"/>
    <x v="15"/>
    <x v="570"/>
  </r>
  <r>
    <x v="41"/>
    <x v="278"/>
    <x v="3"/>
    <x v="0"/>
    <x v="572"/>
    <x v="23"/>
    <x v="3"/>
    <n v="210.33"/>
    <n v="552.29"/>
    <x v="0"/>
    <x v="13"/>
    <x v="0"/>
    <s v="Retail"/>
    <x v="7"/>
    <x v="571"/>
  </r>
  <r>
    <x v="45"/>
    <x v="149"/>
    <x v="1"/>
    <x v="3"/>
    <x v="573"/>
    <x v="35"/>
    <x v="0"/>
    <n v="1712.43"/>
    <n v="1980.06"/>
    <x v="1"/>
    <x v="16"/>
    <x v="0"/>
    <s v="Online"/>
    <x v="16"/>
    <x v="572"/>
  </r>
  <r>
    <x v="1"/>
    <x v="279"/>
    <x v="3"/>
    <x v="3"/>
    <x v="574"/>
    <x v="33"/>
    <x v="3"/>
    <n v="2593.64"/>
    <n v="2955.5099999999902"/>
    <x v="0"/>
    <x v="11"/>
    <x v="1"/>
    <s v="Retail"/>
    <x v="14"/>
    <x v="573"/>
  </r>
  <r>
    <x v="61"/>
    <x v="209"/>
    <x v="0"/>
    <x v="2"/>
    <x v="575"/>
    <x v="41"/>
    <x v="3"/>
    <n v="3993.39"/>
    <n v="4288.3"/>
    <x v="1"/>
    <x v="9"/>
    <x v="2"/>
    <s v="Online"/>
    <x v="3"/>
    <x v="574"/>
  </r>
  <r>
    <x v="55"/>
    <x v="257"/>
    <x v="1"/>
    <x v="1"/>
    <x v="576"/>
    <x v="6"/>
    <x v="0"/>
    <n v="1723.01"/>
    <n v="2197.42"/>
    <x v="1"/>
    <x v="17"/>
    <x v="1"/>
    <s v="Retail"/>
    <x v="13"/>
    <x v="575"/>
  </r>
  <r>
    <x v="41"/>
    <x v="118"/>
    <x v="2"/>
    <x v="0"/>
    <x v="577"/>
    <x v="16"/>
    <x v="2"/>
    <n v="3542.18"/>
    <n v="3578.49"/>
    <x v="0"/>
    <x v="7"/>
    <x v="0"/>
    <s v="Online"/>
    <x v="19"/>
    <x v="576"/>
  </r>
  <r>
    <x v="54"/>
    <x v="146"/>
    <x v="1"/>
    <x v="0"/>
    <x v="578"/>
    <x v="24"/>
    <x v="1"/>
    <n v="978.15"/>
    <n v="1040.21"/>
    <x v="1"/>
    <x v="7"/>
    <x v="2"/>
    <s v="Retail"/>
    <x v="11"/>
    <x v="577"/>
  </r>
  <r>
    <x v="34"/>
    <x v="157"/>
    <x v="2"/>
    <x v="1"/>
    <x v="579"/>
    <x v="4"/>
    <x v="0"/>
    <n v="3765.46"/>
    <n v="3860.56"/>
    <x v="0"/>
    <x v="20"/>
    <x v="0"/>
    <s v="Retail"/>
    <x v="5"/>
    <x v="578"/>
  </r>
  <r>
    <x v="89"/>
    <x v="24"/>
    <x v="2"/>
    <x v="1"/>
    <x v="580"/>
    <x v="31"/>
    <x v="2"/>
    <n v="1218.18"/>
    <n v="1566.36"/>
    <x v="0"/>
    <x v="21"/>
    <x v="2"/>
    <s v="Retail"/>
    <x v="5"/>
    <x v="579"/>
  </r>
  <r>
    <x v="22"/>
    <x v="280"/>
    <x v="1"/>
    <x v="2"/>
    <x v="581"/>
    <x v="14"/>
    <x v="0"/>
    <n v="760.55"/>
    <n v="1086.8899999999901"/>
    <x v="0"/>
    <x v="25"/>
    <x v="0"/>
    <s v="Retail"/>
    <x v="2"/>
    <x v="580"/>
  </r>
  <r>
    <x v="8"/>
    <x v="3"/>
    <x v="2"/>
    <x v="1"/>
    <x v="582"/>
    <x v="31"/>
    <x v="2"/>
    <n v="967.77"/>
    <n v="1414.88"/>
    <x v="1"/>
    <x v="22"/>
    <x v="1"/>
    <s v="Online"/>
    <x v="5"/>
    <x v="581"/>
  </r>
  <r>
    <x v="63"/>
    <x v="281"/>
    <x v="2"/>
    <x v="0"/>
    <x v="583"/>
    <x v="17"/>
    <x v="0"/>
    <n v="951.21"/>
    <n v="1320.32"/>
    <x v="1"/>
    <x v="25"/>
    <x v="0"/>
    <s v="Online"/>
    <x v="19"/>
    <x v="582"/>
  </r>
  <r>
    <x v="49"/>
    <x v="282"/>
    <x v="0"/>
    <x v="0"/>
    <x v="17"/>
    <x v="48"/>
    <x v="2"/>
    <n v="2588.67"/>
    <n v="2847.76"/>
    <x v="1"/>
    <x v="20"/>
    <x v="0"/>
    <s v="Retail"/>
    <x v="0"/>
    <x v="583"/>
  </r>
  <r>
    <x v="23"/>
    <x v="3"/>
    <x v="3"/>
    <x v="0"/>
    <x v="584"/>
    <x v="41"/>
    <x v="0"/>
    <n v="4231.75"/>
    <n v="4727.75"/>
    <x v="0"/>
    <x v="7"/>
    <x v="2"/>
    <s v="Retail"/>
    <x v="7"/>
    <x v="584"/>
  </r>
  <r>
    <x v="5"/>
    <x v="208"/>
    <x v="3"/>
    <x v="0"/>
    <x v="585"/>
    <x v="12"/>
    <x v="2"/>
    <n v="444.05"/>
    <n v="584.44000000000005"/>
    <x v="0"/>
    <x v="24"/>
    <x v="0"/>
    <s v="Retail"/>
    <x v="7"/>
    <x v="585"/>
  </r>
  <r>
    <x v="49"/>
    <x v="199"/>
    <x v="0"/>
    <x v="0"/>
    <x v="586"/>
    <x v="31"/>
    <x v="0"/>
    <n v="3549.43"/>
    <n v="3967.6899999999901"/>
    <x v="1"/>
    <x v="6"/>
    <x v="1"/>
    <s v="Online"/>
    <x v="0"/>
    <x v="586"/>
  </r>
  <r>
    <x v="99"/>
    <x v="197"/>
    <x v="1"/>
    <x v="2"/>
    <x v="587"/>
    <x v="2"/>
    <x v="1"/>
    <n v="3289.01"/>
    <n v="3508.14"/>
    <x v="1"/>
    <x v="22"/>
    <x v="1"/>
    <s v="Retail"/>
    <x v="2"/>
    <x v="587"/>
  </r>
  <r>
    <x v="35"/>
    <x v="283"/>
    <x v="4"/>
    <x v="0"/>
    <x v="588"/>
    <x v="17"/>
    <x v="1"/>
    <n v="4368.97"/>
    <n v="4696.8500000000004"/>
    <x v="0"/>
    <x v="26"/>
    <x v="1"/>
    <s v="Retail"/>
    <x v="15"/>
    <x v="588"/>
  </r>
  <r>
    <x v="11"/>
    <x v="284"/>
    <x v="4"/>
    <x v="2"/>
    <x v="589"/>
    <x v="22"/>
    <x v="3"/>
    <n v="1258.53"/>
    <n v="1624.8899999999901"/>
    <x v="1"/>
    <x v="4"/>
    <x v="2"/>
    <s v="Online"/>
    <x v="9"/>
    <x v="589"/>
  </r>
  <r>
    <x v="18"/>
    <x v="177"/>
    <x v="4"/>
    <x v="0"/>
    <x v="590"/>
    <x v="9"/>
    <x v="2"/>
    <n v="2278.04"/>
    <n v="2598.58"/>
    <x v="0"/>
    <x v="3"/>
    <x v="2"/>
    <s v="Retail"/>
    <x v="15"/>
    <x v="590"/>
  </r>
  <r>
    <x v="73"/>
    <x v="285"/>
    <x v="0"/>
    <x v="3"/>
    <x v="591"/>
    <x v="17"/>
    <x v="0"/>
    <n v="4632.8500000000004"/>
    <n v="4711.7"/>
    <x v="1"/>
    <x v="5"/>
    <x v="0"/>
    <s v="Retail"/>
    <x v="12"/>
    <x v="591"/>
  </r>
  <r>
    <x v="24"/>
    <x v="60"/>
    <x v="0"/>
    <x v="3"/>
    <x v="592"/>
    <x v="12"/>
    <x v="2"/>
    <n v="3316.97"/>
    <n v="3544.02"/>
    <x v="0"/>
    <x v="6"/>
    <x v="0"/>
    <s v="Online"/>
    <x v="12"/>
    <x v="592"/>
  </r>
  <r>
    <x v="73"/>
    <x v="189"/>
    <x v="2"/>
    <x v="3"/>
    <x v="593"/>
    <x v="17"/>
    <x v="1"/>
    <n v="1974.4"/>
    <n v="2259.5"/>
    <x v="1"/>
    <x v="29"/>
    <x v="0"/>
    <s v="Retail"/>
    <x v="4"/>
    <x v="593"/>
  </r>
  <r>
    <x v="49"/>
    <x v="50"/>
    <x v="4"/>
    <x v="3"/>
    <x v="594"/>
    <x v="5"/>
    <x v="2"/>
    <n v="700.49"/>
    <n v="1126.52"/>
    <x v="1"/>
    <x v="12"/>
    <x v="2"/>
    <s v="Retail"/>
    <x v="18"/>
    <x v="594"/>
  </r>
  <r>
    <x v="60"/>
    <x v="239"/>
    <x v="1"/>
    <x v="2"/>
    <x v="595"/>
    <x v="39"/>
    <x v="0"/>
    <n v="1349.3"/>
    <n v="1576.69"/>
    <x v="0"/>
    <x v="7"/>
    <x v="2"/>
    <s v="Online"/>
    <x v="2"/>
    <x v="595"/>
  </r>
  <r>
    <x v="78"/>
    <x v="62"/>
    <x v="1"/>
    <x v="2"/>
    <x v="596"/>
    <x v="15"/>
    <x v="2"/>
    <n v="2927.02"/>
    <n v="3387.21"/>
    <x v="0"/>
    <x v="7"/>
    <x v="0"/>
    <s v="Retail"/>
    <x v="2"/>
    <x v="596"/>
  </r>
  <r>
    <x v="11"/>
    <x v="115"/>
    <x v="4"/>
    <x v="1"/>
    <x v="597"/>
    <x v="39"/>
    <x v="0"/>
    <n v="3604.93"/>
    <n v="3830.71"/>
    <x v="0"/>
    <x v="7"/>
    <x v="2"/>
    <s v="Online"/>
    <x v="17"/>
    <x v="597"/>
  </r>
  <r>
    <x v="71"/>
    <x v="251"/>
    <x v="4"/>
    <x v="0"/>
    <x v="598"/>
    <x v="39"/>
    <x v="1"/>
    <n v="665.89"/>
    <n v="944.79"/>
    <x v="1"/>
    <x v="15"/>
    <x v="2"/>
    <s v="Retail"/>
    <x v="15"/>
    <x v="598"/>
  </r>
  <r>
    <x v="30"/>
    <x v="260"/>
    <x v="4"/>
    <x v="3"/>
    <x v="599"/>
    <x v="38"/>
    <x v="1"/>
    <n v="3018.01"/>
    <n v="3418.19"/>
    <x v="0"/>
    <x v="10"/>
    <x v="1"/>
    <s v="Retail"/>
    <x v="18"/>
    <x v="599"/>
  </r>
  <r>
    <x v="78"/>
    <x v="82"/>
    <x v="0"/>
    <x v="2"/>
    <x v="600"/>
    <x v="1"/>
    <x v="1"/>
    <n v="2774.24"/>
    <n v="3069.9399999999901"/>
    <x v="0"/>
    <x v="10"/>
    <x v="1"/>
    <s v="Retail"/>
    <x v="3"/>
    <x v="600"/>
  </r>
  <r>
    <x v="72"/>
    <x v="176"/>
    <x v="0"/>
    <x v="0"/>
    <x v="601"/>
    <x v="5"/>
    <x v="3"/>
    <n v="2594.08"/>
    <n v="3074.59"/>
    <x v="1"/>
    <x v="6"/>
    <x v="0"/>
    <s v="Retail"/>
    <x v="0"/>
    <x v="601"/>
  </r>
  <r>
    <x v="70"/>
    <x v="56"/>
    <x v="0"/>
    <x v="0"/>
    <x v="602"/>
    <x v="25"/>
    <x v="1"/>
    <n v="3466.11"/>
    <n v="3799.67"/>
    <x v="0"/>
    <x v="30"/>
    <x v="0"/>
    <s v="Retail"/>
    <x v="0"/>
    <x v="602"/>
  </r>
  <r>
    <x v="33"/>
    <x v="255"/>
    <x v="3"/>
    <x v="2"/>
    <x v="603"/>
    <x v="25"/>
    <x v="2"/>
    <n v="4195.38"/>
    <n v="4461.51"/>
    <x v="0"/>
    <x v="0"/>
    <x v="1"/>
    <s v="Online"/>
    <x v="6"/>
    <x v="603"/>
  </r>
  <r>
    <x v="81"/>
    <x v="62"/>
    <x v="1"/>
    <x v="3"/>
    <x v="604"/>
    <x v="7"/>
    <x v="3"/>
    <n v="1648.8"/>
    <n v="1670.36"/>
    <x v="0"/>
    <x v="0"/>
    <x v="2"/>
    <s v="Retail"/>
    <x v="16"/>
    <x v="604"/>
  </r>
  <r>
    <x v="71"/>
    <x v="263"/>
    <x v="1"/>
    <x v="1"/>
    <x v="605"/>
    <x v="3"/>
    <x v="1"/>
    <n v="4450.6099999999997"/>
    <n v="4663.3399999999901"/>
    <x v="1"/>
    <x v="19"/>
    <x v="0"/>
    <s v="Retail"/>
    <x v="13"/>
    <x v="605"/>
  </r>
  <r>
    <x v="23"/>
    <x v="18"/>
    <x v="2"/>
    <x v="0"/>
    <x v="606"/>
    <x v="17"/>
    <x v="2"/>
    <n v="845.14"/>
    <n v="1001.77"/>
    <x v="1"/>
    <x v="21"/>
    <x v="0"/>
    <s v="Online"/>
    <x v="19"/>
    <x v="606"/>
  </r>
  <r>
    <x v="73"/>
    <x v="105"/>
    <x v="0"/>
    <x v="1"/>
    <x v="607"/>
    <x v="8"/>
    <x v="2"/>
    <n v="906.47"/>
    <n v="1283.04"/>
    <x v="1"/>
    <x v="19"/>
    <x v="0"/>
    <s v="Online"/>
    <x v="1"/>
    <x v="607"/>
  </r>
  <r>
    <x v="16"/>
    <x v="78"/>
    <x v="3"/>
    <x v="3"/>
    <x v="608"/>
    <x v="38"/>
    <x v="2"/>
    <n v="1370.52"/>
    <n v="1482.58"/>
    <x v="0"/>
    <x v="2"/>
    <x v="2"/>
    <s v="Retail"/>
    <x v="14"/>
    <x v="608"/>
  </r>
  <r>
    <x v="90"/>
    <x v="146"/>
    <x v="3"/>
    <x v="3"/>
    <x v="609"/>
    <x v="21"/>
    <x v="0"/>
    <n v="641.67999999999995"/>
    <n v="752.24"/>
    <x v="1"/>
    <x v="20"/>
    <x v="1"/>
    <s v="Online"/>
    <x v="14"/>
    <x v="609"/>
  </r>
  <r>
    <x v="30"/>
    <x v="176"/>
    <x v="1"/>
    <x v="1"/>
    <x v="610"/>
    <x v="23"/>
    <x v="3"/>
    <n v="1190.08"/>
    <n v="1292.9399999999901"/>
    <x v="0"/>
    <x v="9"/>
    <x v="0"/>
    <s v="Retail"/>
    <x v="13"/>
    <x v="610"/>
  </r>
  <r>
    <x v="42"/>
    <x v="142"/>
    <x v="0"/>
    <x v="3"/>
    <x v="611"/>
    <x v="9"/>
    <x v="2"/>
    <n v="576.74"/>
    <n v="648.29"/>
    <x v="0"/>
    <x v="2"/>
    <x v="1"/>
    <s v="Online"/>
    <x v="12"/>
    <x v="611"/>
  </r>
  <r>
    <x v="23"/>
    <x v="42"/>
    <x v="2"/>
    <x v="0"/>
    <x v="612"/>
    <x v="41"/>
    <x v="0"/>
    <n v="4117.67"/>
    <n v="4280.0600000000004"/>
    <x v="0"/>
    <x v="13"/>
    <x v="1"/>
    <s v="Online"/>
    <x v="19"/>
    <x v="612"/>
  </r>
  <r>
    <x v="74"/>
    <x v="65"/>
    <x v="0"/>
    <x v="1"/>
    <x v="613"/>
    <x v="48"/>
    <x v="1"/>
    <n v="737.9"/>
    <n v="1182"/>
    <x v="1"/>
    <x v="10"/>
    <x v="2"/>
    <s v="Retail"/>
    <x v="1"/>
    <x v="613"/>
  </r>
  <r>
    <x v="81"/>
    <x v="11"/>
    <x v="4"/>
    <x v="3"/>
    <x v="614"/>
    <x v="42"/>
    <x v="2"/>
    <n v="3749.12"/>
    <n v="4138.83"/>
    <x v="1"/>
    <x v="9"/>
    <x v="2"/>
    <s v="Online"/>
    <x v="18"/>
    <x v="614"/>
  </r>
  <r>
    <x v="26"/>
    <x v="115"/>
    <x v="0"/>
    <x v="1"/>
    <x v="615"/>
    <x v="20"/>
    <x v="0"/>
    <n v="287.17"/>
    <n v="657.44"/>
    <x v="0"/>
    <x v="6"/>
    <x v="2"/>
    <s v="Retail"/>
    <x v="1"/>
    <x v="615"/>
  </r>
  <r>
    <x v="88"/>
    <x v="272"/>
    <x v="4"/>
    <x v="0"/>
    <x v="616"/>
    <x v="26"/>
    <x v="2"/>
    <n v="4745.18"/>
    <n v="5145.88"/>
    <x v="0"/>
    <x v="27"/>
    <x v="2"/>
    <s v="Online"/>
    <x v="15"/>
    <x v="616"/>
  </r>
  <r>
    <x v="24"/>
    <x v="286"/>
    <x v="4"/>
    <x v="3"/>
    <x v="617"/>
    <x v="17"/>
    <x v="3"/>
    <n v="3570.24"/>
    <n v="3712.25"/>
    <x v="1"/>
    <x v="21"/>
    <x v="2"/>
    <s v="Online"/>
    <x v="18"/>
    <x v="617"/>
  </r>
  <r>
    <x v="10"/>
    <x v="287"/>
    <x v="2"/>
    <x v="0"/>
    <x v="618"/>
    <x v="1"/>
    <x v="3"/>
    <n v="83.64"/>
    <n v="528.49"/>
    <x v="1"/>
    <x v="9"/>
    <x v="2"/>
    <s v="Online"/>
    <x v="19"/>
    <x v="618"/>
  </r>
  <r>
    <x v="70"/>
    <x v="229"/>
    <x v="1"/>
    <x v="3"/>
    <x v="619"/>
    <x v="19"/>
    <x v="1"/>
    <n v="3831.09"/>
    <n v="3908.37"/>
    <x v="1"/>
    <x v="12"/>
    <x v="0"/>
    <s v="Retail"/>
    <x v="16"/>
    <x v="619"/>
  </r>
  <r>
    <x v="4"/>
    <x v="288"/>
    <x v="0"/>
    <x v="2"/>
    <x v="620"/>
    <x v="23"/>
    <x v="2"/>
    <n v="2594.71"/>
    <n v="2769.52"/>
    <x v="0"/>
    <x v="30"/>
    <x v="1"/>
    <s v="Retail"/>
    <x v="3"/>
    <x v="620"/>
  </r>
  <r>
    <x v="88"/>
    <x v="141"/>
    <x v="4"/>
    <x v="3"/>
    <x v="621"/>
    <x v="40"/>
    <x v="0"/>
    <n v="3907.86"/>
    <n v="4205.37"/>
    <x v="1"/>
    <x v="0"/>
    <x v="2"/>
    <s v="Online"/>
    <x v="18"/>
    <x v="621"/>
  </r>
  <r>
    <x v="21"/>
    <x v="89"/>
    <x v="0"/>
    <x v="1"/>
    <x v="622"/>
    <x v="5"/>
    <x v="1"/>
    <n v="2636.36"/>
    <n v="2696.78"/>
    <x v="1"/>
    <x v="0"/>
    <x v="0"/>
    <s v="Retail"/>
    <x v="1"/>
    <x v="622"/>
  </r>
  <r>
    <x v="40"/>
    <x v="113"/>
    <x v="1"/>
    <x v="3"/>
    <x v="623"/>
    <x v="21"/>
    <x v="2"/>
    <n v="3223.07"/>
    <n v="3590.83"/>
    <x v="1"/>
    <x v="27"/>
    <x v="1"/>
    <s v="Retail"/>
    <x v="16"/>
    <x v="623"/>
  </r>
  <r>
    <x v="43"/>
    <x v="250"/>
    <x v="1"/>
    <x v="0"/>
    <x v="624"/>
    <x v="20"/>
    <x v="1"/>
    <n v="3942.34"/>
    <n v="4142.09"/>
    <x v="0"/>
    <x v="21"/>
    <x v="2"/>
    <s v="Retail"/>
    <x v="11"/>
    <x v="624"/>
  </r>
  <r>
    <x v="69"/>
    <x v="30"/>
    <x v="3"/>
    <x v="0"/>
    <x v="625"/>
    <x v="40"/>
    <x v="0"/>
    <n v="2055.2800000000002"/>
    <n v="2449.64"/>
    <x v="1"/>
    <x v="27"/>
    <x v="2"/>
    <s v="Online"/>
    <x v="7"/>
    <x v="625"/>
  </r>
  <r>
    <x v="47"/>
    <x v="200"/>
    <x v="1"/>
    <x v="3"/>
    <x v="626"/>
    <x v="31"/>
    <x v="1"/>
    <n v="63.41"/>
    <n v="314.93"/>
    <x v="0"/>
    <x v="21"/>
    <x v="0"/>
    <s v="Retail"/>
    <x v="16"/>
    <x v="626"/>
  </r>
  <r>
    <x v="56"/>
    <x v="128"/>
    <x v="2"/>
    <x v="1"/>
    <x v="627"/>
    <x v="48"/>
    <x v="1"/>
    <n v="4257.24"/>
    <n v="4355.87"/>
    <x v="0"/>
    <x v="21"/>
    <x v="1"/>
    <s v="Online"/>
    <x v="5"/>
    <x v="627"/>
  </r>
  <r>
    <x v="0"/>
    <x v="289"/>
    <x v="4"/>
    <x v="2"/>
    <x v="628"/>
    <x v="39"/>
    <x v="1"/>
    <n v="1935.41"/>
    <n v="2305.44"/>
    <x v="0"/>
    <x v="20"/>
    <x v="2"/>
    <s v="Online"/>
    <x v="9"/>
    <x v="628"/>
  </r>
  <r>
    <x v="6"/>
    <x v="11"/>
    <x v="3"/>
    <x v="1"/>
    <x v="629"/>
    <x v="31"/>
    <x v="2"/>
    <n v="2505.41"/>
    <n v="2638.96"/>
    <x v="1"/>
    <x v="15"/>
    <x v="1"/>
    <s v="Online"/>
    <x v="8"/>
    <x v="629"/>
  </r>
  <r>
    <x v="93"/>
    <x v="163"/>
    <x v="2"/>
    <x v="2"/>
    <x v="630"/>
    <x v="38"/>
    <x v="0"/>
    <n v="88.44"/>
    <n v="338.94"/>
    <x v="1"/>
    <x v="12"/>
    <x v="0"/>
    <s v="Online"/>
    <x v="10"/>
    <x v="630"/>
  </r>
  <r>
    <x v="91"/>
    <x v="148"/>
    <x v="0"/>
    <x v="0"/>
    <x v="631"/>
    <x v="41"/>
    <x v="3"/>
    <n v="2485.86"/>
    <n v="2532.87"/>
    <x v="1"/>
    <x v="30"/>
    <x v="2"/>
    <s v="Online"/>
    <x v="0"/>
    <x v="631"/>
  </r>
  <r>
    <x v="73"/>
    <x v="290"/>
    <x v="4"/>
    <x v="1"/>
    <x v="632"/>
    <x v="16"/>
    <x v="2"/>
    <n v="4933.1099999999997"/>
    <n v="5245.86"/>
    <x v="0"/>
    <x v="9"/>
    <x v="1"/>
    <s v="Retail"/>
    <x v="17"/>
    <x v="632"/>
  </r>
  <r>
    <x v="70"/>
    <x v="66"/>
    <x v="1"/>
    <x v="2"/>
    <x v="633"/>
    <x v="12"/>
    <x v="3"/>
    <n v="1427.42"/>
    <n v="1763.69"/>
    <x v="1"/>
    <x v="21"/>
    <x v="0"/>
    <s v="Retail"/>
    <x v="2"/>
    <x v="633"/>
  </r>
  <r>
    <x v="97"/>
    <x v="291"/>
    <x v="4"/>
    <x v="3"/>
    <x v="634"/>
    <x v="42"/>
    <x v="3"/>
    <n v="2007.32"/>
    <n v="2202.87"/>
    <x v="0"/>
    <x v="1"/>
    <x v="0"/>
    <s v="Online"/>
    <x v="18"/>
    <x v="634"/>
  </r>
  <r>
    <x v="0"/>
    <x v="99"/>
    <x v="0"/>
    <x v="0"/>
    <x v="635"/>
    <x v="23"/>
    <x v="2"/>
    <n v="3451.59"/>
    <n v="3929.26"/>
    <x v="1"/>
    <x v="23"/>
    <x v="2"/>
    <s v="Retail"/>
    <x v="0"/>
    <x v="635"/>
  </r>
  <r>
    <x v="59"/>
    <x v="70"/>
    <x v="3"/>
    <x v="3"/>
    <x v="636"/>
    <x v="11"/>
    <x v="2"/>
    <n v="4083.23"/>
    <n v="4521.57"/>
    <x v="1"/>
    <x v="29"/>
    <x v="1"/>
    <s v="Retail"/>
    <x v="14"/>
    <x v="636"/>
  </r>
  <r>
    <x v="10"/>
    <x v="206"/>
    <x v="3"/>
    <x v="0"/>
    <x v="637"/>
    <x v="8"/>
    <x v="0"/>
    <n v="2116.09"/>
    <n v="2472.98"/>
    <x v="1"/>
    <x v="30"/>
    <x v="2"/>
    <s v="Retail"/>
    <x v="7"/>
    <x v="637"/>
  </r>
  <r>
    <x v="14"/>
    <x v="57"/>
    <x v="3"/>
    <x v="1"/>
    <x v="638"/>
    <x v="23"/>
    <x v="0"/>
    <n v="1582.86"/>
    <n v="1942.55"/>
    <x v="1"/>
    <x v="22"/>
    <x v="2"/>
    <s v="Retail"/>
    <x v="8"/>
    <x v="638"/>
  </r>
  <r>
    <x v="71"/>
    <x v="186"/>
    <x v="1"/>
    <x v="1"/>
    <x v="639"/>
    <x v="27"/>
    <x v="1"/>
    <n v="4692.24"/>
    <n v="4825.92"/>
    <x v="0"/>
    <x v="27"/>
    <x v="1"/>
    <s v="Retail"/>
    <x v="13"/>
    <x v="639"/>
  </r>
  <r>
    <x v="93"/>
    <x v="177"/>
    <x v="2"/>
    <x v="0"/>
    <x v="640"/>
    <x v="45"/>
    <x v="3"/>
    <n v="3401.87"/>
    <n v="3733.71"/>
    <x v="0"/>
    <x v="18"/>
    <x v="1"/>
    <s v="Retail"/>
    <x v="19"/>
    <x v="640"/>
  </r>
  <r>
    <x v="84"/>
    <x v="231"/>
    <x v="2"/>
    <x v="0"/>
    <x v="641"/>
    <x v="26"/>
    <x v="0"/>
    <n v="639.16"/>
    <n v="746.28"/>
    <x v="0"/>
    <x v="14"/>
    <x v="1"/>
    <s v="Retail"/>
    <x v="19"/>
    <x v="641"/>
  </r>
  <r>
    <x v="36"/>
    <x v="292"/>
    <x v="4"/>
    <x v="0"/>
    <x v="642"/>
    <x v="45"/>
    <x v="1"/>
    <n v="391.19"/>
    <n v="471.75"/>
    <x v="0"/>
    <x v="29"/>
    <x v="0"/>
    <s v="Online"/>
    <x v="15"/>
    <x v="642"/>
  </r>
  <r>
    <x v="14"/>
    <x v="54"/>
    <x v="1"/>
    <x v="1"/>
    <x v="643"/>
    <x v="31"/>
    <x v="0"/>
    <n v="2443.5700000000002"/>
    <n v="2943.31"/>
    <x v="1"/>
    <x v="12"/>
    <x v="0"/>
    <s v="Online"/>
    <x v="13"/>
    <x v="643"/>
  </r>
  <r>
    <x v="27"/>
    <x v="290"/>
    <x v="3"/>
    <x v="2"/>
    <x v="644"/>
    <x v="30"/>
    <x v="2"/>
    <n v="1139.45"/>
    <n v="1454.41"/>
    <x v="0"/>
    <x v="23"/>
    <x v="1"/>
    <s v="Online"/>
    <x v="6"/>
    <x v="644"/>
  </r>
  <r>
    <x v="22"/>
    <x v="263"/>
    <x v="3"/>
    <x v="3"/>
    <x v="645"/>
    <x v="37"/>
    <x v="0"/>
    <n v="1307.22"/>
    <n v="1528.4"/>
    <x v="0"/>
    <x v="19"/>
    <x v="0"/>
    <s v="Retail"/>
    <x v="14"/>
    <x v="645"/>
  </r>
  <r>
    <x v="36"/>
    <x v="68"/>
    <x v="0"/>
    <x v="3"/>
    <x v="646"/>
    <x v="39"/>
    <x v="3"/>
    <n v="4394.58"/>
    <n v="4545.78"/>
    <x v="0"/>
    <x v="2"/>
    <x v="2"/>
    <s v="Retail"/>
    <x v="12"/>
    <x v="646"/>
  </r>
  <r>
    <x v="39"/>
    <x v="293"/>
    <x v="0"/>
    <x v="1"/>
    <x v="647"/>
    <x v="37"/>
    <x v="0"/>
    <n v="493.35"/>
    <n v="799.27"/>
    <x v="1"/>
    <x v="15"/>
    <x v="1"/>
    <s v="Online"/>
    <x v="1"/>
    <x v="647"/>
  </r>
  <r>
    <x v="56"/>
    <x v="42"/>
    <x v="3"/>
    <x v="3"/>
    <x v="648"/>
    <x v="25"/>
    <x v="3"/>
    <n v="3591.05"/>
    <n v="3625.35"/>
    <x v="0"/>
    <x v="8"/>
    <x v="2"/>
    <s v="Retail"/>
    <x v="14"/>
    <x v="648"/>
  </r>
  <r>
    <x v="68"/>
    <x v="116"/>
    <x v="3"/>
    <x v="0"/>
    <x v="649"/>
    <x v="39"/>
    <x v="2"/>
    <n v="1392.15"/>
    <n v="1448.54"/>
    <x v="0"/>
    <x v="3"/>
    <x v="1"/>
    <s v="Retail"/>
    <x v="7"/>
    <x v="649"/>
  </r>
  <r>
    <x v="46"/>
    <x v="133"/>
    <x v="1"/>
    <x v="2"/>
    <x v="650"/>
    <x v="2"/>
    <x v="3"/>
    <n v="3813.62"/>
    <n v="3839.72"/>
    <x v="1"/>
    <x v="5"/>
    <x v="2"/>
    <s v="Online"/>
    <x v="2"/>
    <x v="650"/>
  </r>
  <r>
    <x v="7"/>
    <x v="285"/>
    <x v="2"/>
    <x v="3"/>
    <x v="651"/>
    <x v="46"/>
    <x v="0"/>
    <n v="3625.94"/>
    <n v="3880.53"/>
    <x v="1"/>
    <x v="19"/>
    <x v="1"/>
    <s v="Online"/>
    <x v="4"/>
    <x v="651"/>
  </r>
  <r>
    <x v="1"/>
    <x v="294"/>
    <x v="0"/>
    <x v="2"/>
    <x v="652"/>
    <x v="34"/>
    <x v="1"/>
    <n v="86.59"/>
    <n v="390.89"/>
    <x v="0"/>
    <x v="26"/>
    <x v="2"/>
    <s v="Online"/>
    <x v="3"/>
    <x v="652"/>
  </r>
  <r>
    <x v="8"/>
    <x v="257"/>
    <x v="2"/>
    <x v="0"/>
    <x v="653"/>
    <x v="40"/>
    <x v="2"/>
    <n v="2570.2199999999998"/>
    <n v="2610.8399999999901"/>
    <x v="0"/>
    <x v="29"/>
    <x v="1"/>
    <s v="Retail"/>
    <x v="19"/>
    <x v="653"/>
  </r>
  <r>
    <x v="37"/>
    <x v="278"/>
    <x v="1"/>
    <x v="3"/>
    <x v="654"/>
    <x v="44"/>
    <x v="0"/>
    <n v="739.63"/>
    <n v="1103.03"/>
    <x v="1"/>
    <x v="16"/>
    <x v="1"/>
    <s v="Retail"/>
    <x v="16"/>
    <x v="654"/>
  </r>
  <r>
    <x v="21"/>
    <x v="211"/>
    <x v="3"/>
    <x v="1"/>
    <x v="655"/>
    <x v="5"/>
    <x v="2"/>
    <n v="4337.82"/>
    <n v="4460.71"/>
    <x v="0"/>
    <x v="23"/>
    <x v="0"/>
    <s v="Retail"/>
    <x v="8"/>
    <x v="655"/>
  </r>
  <r>
    <x v="40"/>
    <x v="103"/>
    <x v="2"/>
    <x v="2"/>
    <x v="656"/>
    <x v="15"/>
    <x v="2"/>
    <n v="4364.3500000000004"/>
    <n v="4710.1000000000004"/>
    <x v="1"/>
    <x v="17"/>
    <x v="2"/>
    <s v="Online"/>
    <x v="10"/>
    <x v="656"/>
  </r>
  <r>
    <x v="55"/>
    <x v="79"/>
    <x v="3"/>
    <x v="0"/>
    <x v="657"/>
    <x v="31"/>
    <x v="0"/>
    <n v="2120.81"/>
    <n v="2611.94"/>
    <x v="0"/>
    <x v="10"/>
    <x v="0"/>
    <s v="Online"/>
    <x v="7"/>
    <x v="657"/>
  </r>
  <r>
    <x v="22"/>
    <x v="295"/>
    <x v="3"/>
    <x v="2"/>
    <x v="658"/>
    <x v="11"/>
    <x v="0"/>
    <n v="2249.7600000000002"/>
    <n v="2598.4"/>
    <x v="0"/>
    <x v="13"/>
    <x v="2"/>
    <s v="Retail"/>
    <x v="6"/>
    <x v="658"/>
  </r>
  <r>
    <x v="90"/>
    <x v="296"/>
    <x v="4"/>
    <x v="3"/>
    <x v="659"/>
    <x v="19"/>
    <x v="1"/>
    <n v="1551.25"/>
    <n v="1994.01"/>
    <x v="0"/>
    <x v="4"/>
    <x v="0"/>
    <s v="Online"/>
    <x v="18"/>
    <x v="659"/>
  </r>
  <r>
    <x v="34"/>
    <x v="238"/>
    <x v="2"/>
    <x v="3"/>
    <x v="660"/>
    <x v="4"/>
    <x v="2"/>
    <n v="3597.2"/>
    <n v="4071.8199999999902"/>
    <x v="0"/>
    <x v="12"/>
    <x v="1"/>
    <s v="Online"/>
    <x v="4"/>
    <x v="660"/>
  </r>
  <r>
    <x v="98"/>
    <x v="91"/>
    <x v="2"/>
    <x v="1"/>
    <x v="661"/>
    <x v="36"/>
    <x v="2"/>
    <n v="1825.37"/>
    <n v="2073.88"/>
    <x v="0"/>
    <x v="29"/>
    <x v="0"/>
    <s v="Retail"/>
    <x v="5"/>
    <x v="661"/>
  </r>
  <r>
    <x v="81"/>
    <x v="297"/>
    <x v="3"/>
    <x v="0"/>
    <x v="662"/>
    <x v="31"/>
    <x v="0"/>
    <n v="1375.57"/>
    <n v="1729.71"/>
    <x v="1"/>
    <x v="14"/>
    <x v="0"/>
    <s v="Online"/>
    <x v="7"/>
    <x v="662"/>
  </r>
  <r>
    <x v="58"/>
    <x v="204"/>
    <x v="1"/>
    <x v="0"/>
    <x v="663"/>
    <x v="20"/>
    <x v="3"/>
    <n v="2189.54"/>
    <n v="2617"/>
    <x v="1"/>
    <x v="30"/>
    <x v="1"/>
    <s v="Online"/>
    <x v="11"/>
    <x v="663"/>
  </r>
  <r>
    <x v="27"/>
    <x v="127"/>
    <x v="4"/>
    <x v="1"/>
    <x v="664"/>
    <x v="35"/>
    <x v="0"/>
    <n v="502.86"/>
    <n v="687.6"/>
    <x v="0"/>
    <x v="5"/>
    <x v="0"/>
    <s v="Online"/>
    <x v="17"/>
    <x v="664"/>
  </r>
  <r>
    <x v="40"/>
    <x v="157"/>
    <x v="3"/>
    <x v="1"/>
    <x v="665"/>
    <x v="25"/>
    <x v="2"/>
    <n v="3745.69"/>
    <n v="3883.77"/>
    <x v="0"/>
    <x v="13"/>
    <x v="1"/>
    <s v="Retail"/>
    <x v="8"/>
    <x v="665"/>
  </r>
  <r>
    <x v="50"/>
    <x v="28"/>
    <x v="0"/>
    <x v="0"/>
    <x v="666"/>
    <x v="27"/>
    <x v="0"/>
    <n v="112.35"/>
    <n v="586.17999999999995"/>
    <x v="0"/>
    <x v="24"/>
    <x v="2"/>
    <s v="Retail"/>
    <x v="0"/>
    <x v="666"/>
  </r>
  <r>
    <x v="75"/>
    <x v="222"/>
    <x v="0"/>
    <x v="2"/>
    <x v="667"/>
    <x v="33"/>
    <x v="1"/>
    <n v="3240.2"/>
    <n v="3606.0899999999901"/>
    <x v="1"/>
    <x v="17"/>
    <x v="0"/>
    <s v="Online"/>
    <x v="3"/>
    <x v="667"/>
  </r>
  <r>
    <x v="83"/>
    <x v="11"/>
    <x v="4"/>
    <x v="2"/>
    <x v="668"/>
    <x v="46"/>
    <x v="3"/>
    <n v="955.18"/>
    <n v="1072.82"/>
    <x v="1"/>
    <x v="21"/>
    <x v="1"/>
    <s v="Retail"/>
    <x v="9"/>
    <x v="668"/>
  </r>
  <r>
    <x v="68"/>
    <x v="136"/>
    <x v="1"/>
    <x v="1"/>
    <x v="669"/>
    <x v="8"/>
    <x v="0"/>
    <n v="1200.4000000000001"/>
    <n v="1430.45"/>
    <x v="1"/>
    <x v="4"/>
    <x v="1"/>
    <s v="Retail"/>
    <x v="13"/>
    <x v="669"/>
  </r>
  <r>
    <x v="63"/>
    <x v="277"/>
    <x v="3"/>
    <x v="2"/>
    <x v="670"/>
    <x v="30"/>
    <x v="1"/>
    <n v="3196.38"/>
    <n v="3596.64"/>
    <x v="1"/>
    <x v="30"/>
    <x v="0"/>
    <s v="Retail"/>
    <x v="6"/>
    <x v="670"/>
  </r>
  <r>
    <x v="72"/>
    <x v="231"/>
    <x v="2"/>
    <x v="0"/>
    <x v="671"/>
    <x v="36"/>
    <x v="2"/>
    <n v="4965.07"/>
    <n v="5243.13"/>
    <x v="1"/>
    <x v="30"/>
    <x v="2"/>
    <s v="Online"/>
    <x v="19"/>
    <x v="671"/>
  </r>
  <r>
    <x v="17"/>
    <x v="32"/>
    <x v="4"/>
    <x v="3"/>
    <x v="672"/>
    <x v="25"/>
    <x v="0"/>
    <n v="3899.7"/>
    <n v="4228.18"/>
    <x v="1"/>
    <x v="29"/>
    <x v="0"/>
    <s v="Retail"/>
    <x v="18"/>
    <x v="672"/>
  </r>
  <r>
    <x v="6"/>
    <x v="170"/>
    <x v="1"/>
    <x v="3"/>
    <x v="673"/>
    <x v="24"/>
    <x v="2"/>
    <n v="1167.9100000000001"/>
    <n v="1547.26"/>
    <x v="1"/>
    <x v="1"/>
    <x v="1"/>
    <s v="Online"/>
    <x v="16"/>
    <x v="673"/>
  </r>
  <r>
    <x v="45"/>
    <x v="70"/>
    <x v="2"/>
    <x v="2"/>
    <x v="674"/>
    <x v="5"/>
    <x v="1"/>
    <n v="921.32"/>
    <n v="1236.0999999999999"/>
    <x v="1"/>
    <x v="7"/>
    <x v="2"/>
    <s v="Online"/>
    <x v="10"/>
    <x v="674"/>
  </r>
  <r>
    <x v="65"/>
    <x v="11"/>
    <x v="0"/>
    <x v="1"/>
    <x v="675"/>
    <x v="42"/>
    <x v="2"/>
    <n v="4337.8500000000004"/>
    <n v="4612.49"/>
    <x v="0"/>
    <x v="30"/>
    <x v="0"/>
    <s v="Retail"/>
    <x v="1"/>
    <x v="675"/>
  </r>
  <r>
    <x v="74"/>
    <x v="298"/>
    <x v="0"/>
    <x v="1"/>
    <x v="676"/>
    <x v="44"/>
    <x v="1"/>
    <n v="2248.71"/>
    <n v="2626.02"/>
    <x v="1"/>
    <x v="4"/>
    <x v="1"/>
    <s v="Online"/>
    <x v="1"/>
    <x v="676"/>
  </r>
  <r>
    <x v="90"/>
    <x v="61"/>
    <x v="2"/>
    <x v="1"/>
    <x v="677"/>
    <x v="39"/>
    <x v="1"/>
    <n v="728.41"/>
    <n v="1094.92"/>
    <x v="1"/>
    <x v="19"/>
    <x v="0"/>
    <s v="Retail"/>
    <x v="5"/>
    <x v="677"/>
  </r>
  <r>
    <x v="43"/>
    <x v="90"/>
    <x v="4"/>
    <x v="1"/>
    <x v="678"/>
    <x v="26"/>
    <x v="1"/>
    <n v="4317.95"/>
    <n v="4636.59"/>
    <x v="1"/>
    <x v="13"/>
    <x v="2"/>
    <s v="Retail"/>
    <x v="17"/>
    <x v="678"/>
  </r>
  <r>
    <x v="23"/>
    <x v="175"/>
    <x v="0"/>
    <x v="1"/>
    <x v="679"/>
    <x v="11"/>
    <x v="0"/>
    <n v="4089.66"/>
    <n v="4275.96"/>
    <x v="1"/>
    <x v="10"/>
    <x v="2"/>
    <s v="Online"/>
    <x v="1"/>
    <x v="679"/>
  </r>
  <r>
    <x v="64"/>
    <x v="273"/>
    <x v="3"/>
    <x v="2"/>
    <x v="680"/>
    <x v="14"/>
    <x v="2"/>
    <n v="4920.34"/>
    <n v="5129.1899999999996"/>
    <x v="0"/>
    <x v="9"/>
    <x v="2"/>
    <s v="Online"/>
    <x v="6"/>
    <x v="680"/>
  </r>
  <r>
    <x v="38"/>
    <x v="59"/>
    <x v="2"/>
    <x v="3"/>
    <x v="681"/>
    <x v="26"/>
    <x v="2"/>
    <n v="4553.2299999999996"/>
    <n v="5038.74"/>
    <x v="1"/>
    <x v="0"/>
    <x v="2"/>
    <s v="Retail"/>
    <x v="4"/>
    <x v="681"/>
  </r>
  <r>
    <x v="49"/>
    <x v="299"/>
    <x v="2"/>
    <x v="3"/>
    <x v="682"/>
    <x v="42"/>
    <x v="3"/>
    <n v="4266.3599999999997"/>
    <n v="4331.4299999999903"/>
    <x v="0"/>
    <x v="6"/>
    <x v="2"/>
    <s v="Retail"/>
    <x v="4"/>
    <x v="682"/>
  </r>
  <r>
    <x v="86"/>
    <x v="94"/>
    <x v="0"/>
    <x v="2"/>
    <x v="683"/>
    <x v="14"/>
    <x v="3"/>
    <n v="310.24"/>
    <n v="451.81"/>
    <x v="0"/>
    <x v="15"/>
    <x v="0"/>
    <s v="Retail"/>
    <x v="3"/>
    <x v="683"/>
  </r>
  <r>
    <x v="96"/>
    <x v="273"/>
    <x v="4"/>
    <x v="1"/>
    <x v="684"/>
    <x v="15"/>
    <x v="3"/>
    <n v="566.86"/>
    <n v="818.14"/>
    <x v="0"/>
    <x v="26"/>
    <x v="2"/>
    <s v="Retail"/>
    <x v="17"/>
    <x v="684"/>
  </r>
  <r>
    <x v="88"/>
    <x v="300"/>
    <x v="3"/>
    <x v="2"/>
    <x v="685"/>
    <x v="5"/>
    <x v="3"/>
    <n v="2866.47"/>
    <n v="3286.47"/>
    <x v="1"/>
    <x v="0"/>
    <x v="2"/>
    <s v="Online"/>
    <x v="6"/>
    <x v="685"/>
  </r>
  <r>
    <x v="4"/>
    <x v="228"/>
    <x v="4"/>
    <x v="3"/>
    <x v="686"/>
    <x v="24"/>
    <x v="2"/>
    <n v="2680.82"/>
    <n v="2771.02"/>
    <x v="1"/>
    <x v="2"/>
    <x v="1"/>
    <s v="Online"/>
    <x v="18"/>
    <x v="686"/>
  </r>
  <r>
    <x v="52"/>
    <x v="194"/>
    <x v="1"/>
    <x v="0"/>
    <x v="687"/>
    <x v="10"/>
    <x v="1"/>
    <n v="2316.92"/>
    <n v="2462.63"/>
    <x v="1"/>
    <x v="14"/>
    <x v="2"/>
    <s v="Online"/>
    <x v="11"/>
    <x v="687"/>
  </r>
  <r>
    <x v="36"/>
    <x v="32"/>
    <x v="1"/>
    <x v="2"/>
    <x v="688"/>
    <x v="46"/>
    <x v="1"/>
    <n v="2014.11"/>
    <n v="2056.35"/>
    <x v="0"/>
    <x v="5"/>
    <x v="1"/>
    <s v="Retail"/>
    <x v="2"/>
    <x v="688"/>
  </r>
  <r>
    <x v="25"/>
    <x v="275"/>
    <x v="0"/>
    <x v="1"/>
    <x v="689"/>
    <x v="3"/>
    <x v="0"/>
    <n v="2184.4899999999998"/>
    <n v="2540.4199999999901"/>
    <x v="0"/>
    <x v="29"/>
    <x v="1"/>
    <s v="Online"/>
    <x v="1"/>
    <x v="689"/>
  </r>
  <r>
    <x v="55"/>
    <x v="185"/>
    <x v="0"/>
    <x v="3"/>
    <x v="690"/>
    <x v="39"/>
    <x v="1"/>
    <n v="2868.02"/>
    <n v="2994.74"/>
    <x v="0"/>
    <x v="13"/>
    <x v="1"/>
    <s v="Online"/>
    <x v="12"/>
    <x v="690"/>
  </r>
  <r>
    <x v="41"/>
    <x v="24"/>
    <x v="0"/>
    <x v="3"/>
    <x v="691"/>
    <x v="21"/>
    <x v="2"/>
    <n v="60.28"/>
    <n v="260.73"/>
    <x v="0"/>
    <x v="22"/>
    <x v="0"/>
    <s v="Online"/>
    <x v="12"/>
    <x v="691"/>
  </r>
  <r>
    <x v="88"/>
    <x v="89"/>
    <x v="1"/>
    <x v="3"/>
    <x v="692"/>
    <x v="43"/>
    <x v="2"/>
    <n v="1340.51"/>
    <n v="1567.92"/>
    <x v="1"/>
    <x v="12"/>
    <x v="0"/>
    <s v="Online"/>
    <x v="16"/>
    <x v="692"/>
  </r>
  <r>
    <x v="36"/>
    <x v="137"/>
    <x v="4"/>
    <x v="3"/>
    <x v="693"/>
    <x v="38"/>
    <x v="2"/>
    <n v="2615.48"/>
    <n v="3062.22"/>
    <x v="1"/>
    <x v="27"/>
    <x v="1"/>
    <s v="Retail"/>
    <x v="18"/>
    <x v="693"/>
  </r>
  <r>
    <x v="95"/>
    <x v="301"/>
    <x v="4"/>
    <x v="1"/>
    <x v="694"/>
    <x v="30"/>
    <x v="0"/>
    <n v="3624.97"/>
    <n v="3836.52"/>
    <x v="1"/>
    <x v="4"/>
    <x v="0"/>
    <s v="Online"/>
    <x v="17"/>
    <x v="694"/>
  </r>
  <r>
    <x v="64"/>
    <x v="204"/>
    <x v="0"/>
    <x v="0"/>
    <x v="695"/>
    <x v="39"/>
    <x v="3"/>
    <n v="912.08"/>
    <n v="993.24"/>
    <x v="0"/>
    <x v="0"/>
    <x v="2"/>
    <s v="Online"/>
    <x v="0"/>
    <x v="695"/>
  </r>
  <r>
    <x v="81"/>
    <x v="302"/>
    <x v="3"/>
    <x v="3"/>
    <x v="696"/>
    <x v="17"/>
    <x v="1"/>
    <n v="2757.06"/>
    <n v="3023.97"/>
    <x v="0"/>
    <x v="5"/>
    <x v="0"/>
    <s v="Online"/>
    <x v="14"/>
    <x v="696"/>
  </r>
  <r>
    <x v="28"/>
    <x v="32"/>
    <x v="4"/>
    <x v="2"/>
    <x v="697"/>
    <x v="28"/>
    <x v="2"/>
    <n v="3586.58"/>
    <n v="4068.43"/>
    <x v="1"/>
    <x v="20"/>
    <x v="2"/>
    <s v="Online"/>
    <x v="9"/>
    <x v="697"/>
  </r>
  <r>
    <x v="22"/>
    <x v="266"/>
    <x v="1"/>
    <x v="0"/>
    <x v="698"/>
    <x v="39"/>
    <x v="2"/>
    <n v="2250.91"/>
    <n v="2558.6799999999998"/>
    <x v="1"/>
    <x v="0"/>
    <x v="2"/>
    <s v="Retail"/>
    <x v="11"/>
    <x v="698"/>
  </r>
  <r>
    <x v="94"/>
    <x v="32"/>
    <x v="2"/>
    <x v="3"/>
    <x v="699"/>
    <x v="6"/>
    <x v="3"/>
    <n v="184.05"/>
    <n v="675.91"/>
    <x v="0"/>
    <x v="15"/>
    <x v="0"/>
    <s v="Retail"/>
    <x v="4"/>
    <x v="699"/>
  </r>
  <r>
    <x v="28"/>
    <x v="171"/>
    <x v="2"/>
    <x v="0"/>
    <x v="700"/>
    <x v="13"/>
    <x v="2"/>
    <n v="2273.88"/>
    <n v="2696.02"/>
    <x v="1"/>
    <x v="23"/>
    <x v="0"/>
    <s v="Online"/>
    <x v="19"/>
    <x v="700"/>
  </r>
  <r>
    <x v="3"/>
    <x v="104"/>
    <x v="2"/>
    <x v="2"/>
    <x v="701"/>
    <x v="26"/>
    <x v="1"/>
    <n v="1517.4"/>
    <n v="1545.02"/>
    <x v="1"/>
    <x v="21"/>
    <x v="1"/>
    <s v="Retail"/>
    <x v="10"/>
    <x v="701"/>
  </r>
  <r>
    <x v="4"/>
    <x v="15"/>
    <x v="3"/>
    <x v="3"/>
    <x v="702"/>
    <x v="35"/>
    <x v="0"/>
    <n v="4651.7700000000004"/>
    <n v="4984.3900000000003"/>
    <x v="0"/>
    <x v="7"/>
    <x v="0"/>
    <s v="Retail"/>
    <x v="14"/>
    <x v="702"/>
  </r>
  <r>
    <x v="36"/>
    <x v="291"/>
    <x v="0"/>
    <x v="2"/>
    <x v="703"/>
    <x v="40"/>
    <x v="2"/>
    <n v="666.84"/>
    <n v="817.36"/>
    <x v="0"/>
    <x v="3"/>
    <x v="0"/>
    <s v="Retail"/>
    <x v="3"/>
    <x v="703"/>
  </r>
  <r>
    <x v="66"/>
    <x v="133"/>
    <x v="1"/>
    <x v="1"/>
    <x v="704"/>
    <x v="46"/>
    <x v="1"/>
    <n v="3279.76"/>
    <n v="3563.97"/>
    <x v="0"/>
    <x v="26"/>
    <x v="0"/>
    <s v="Retail"/>
    <x v="13"/>
    <x v="704"/>
  </r>
  <r>
    <x v="12"/>
    <x v="216"/>
    <x v="3"/>
    <x v="3"/>
    <x v="705"/>
    <x v="3"/>
    <x v="2"/>
    <n v="310.95999999999998"/>
    <n v="457.84"/>
    <x v="1"/>
    <x v="21"/>
    <x v="2"/>
    <s v="Online"/>
    <x v="14"/>
    <x v="705"/>
  </r>
  <r>
    <x v="77"/>
    <x v="303"/>
    <x v="1"/>
    <x v="3"/>
    <x v="706"/>
    <x v="38"/>
    <x v="3"/>
    <n v="2258.54"/>
    <n v="2439.4899999999998"/>
    <x v="0"/>
    <x v="2"/>
    <x v="2"/>
    <s v="Retail"/>
    <x v="16"/>
    <x v="706"/>
  </r>
  <r>
    <x v="28"/>
    <x v="74"/>
    <x v="1"/>
    <x v="3"/>
    <x v="707"/>
    <x v="9"/>
    <x v="2"/>
    <n v="2792.2"/>
    <n v="3254.5499999999902"/>
    <x v="1"/>
    <x v="3"/>
    <x v="2"/>
    <s v="Retail"/>
    <x v="16"/>
    <x v="707"/>
  </r>
  <r>
    <x v="30"/>
    <x v="154"/>
    <x v="0"/>
    <x v="3"/>
    <x v="708"/>
    <x v="15"/>
    <x v="2"/>
    <n v="1524.88"/>
    <n v="1636.14"/>
    <x v="1"/>
    <x v="2"/>
    <x v="1"/>
    <s v="Online"/>
    <x v="12"/>
    <x v="708"/>
  </r>
  <r>
    <x v="53"/>
    <x v="111"/>
    <x v="2"/>
    <x v="1"/>
    <x v="709"/>
    <x v="7"/>
    <x v="0"/>
    <n v="2302.62"/>
    <n v="2740.93"/>
    <x v="0"/>
    <x v="26"/>
    <x v="1"/>
    <s v="Online"/>
    <x v="5"/>
    <x v="709"/>
  </r>
  <r>
    <x v="97"/>
    <x v="229"/>
    <x v="0"/>
    <x v="3"/>
    <x v="710"/>
    <x v="28"/>
    <x v="3"/>
    <n v="859.59"/>
    <n v="884.51"/>
    <x v="1"/>
    <x v="7"/>
    <x v="1"/>
    <s v="Online"/>
    <x v="12"/>
    <x v="710"/>
  </r>
  <r>
    <x v="87"/>
    <x v="229"/>
    <x v="3"/>
    <x v="0"/>
    <x v="711"/>
    <x v="35"/>
    <x v="3"/>
    <n v="1555.41"/>
    <n v="1609.94"/>
    <x v="0"/>
    <x v="28"/>
    <x v="2"/>
    <s v="Online"/>
    <x v="7"/>
    <x v="711"/>
  </r>
  <r>
    <x v="20"/>
    <x v="304"/>
    <x v="3"/>
    <x v="3"/>
    <x v="712"/>
    <x v="0"/>
    <x v="0"/>
    <n v="3124.48"/>
    <n v="3553.27"/>
    <x v="0"/>
    <x v="7"/>
    <x v="0"/>
    <s v="Retail"/>
    <x v="14"/>
    <x v="712"/>
  </r>
  <r>
    <x v="17"/>
    <x v="305"/>
    <x v="3"/>
    <x v="1"/>
    <x v="713"/>
    <x v="38"/>
    <x v="2"/>
    <n v="1543.91"/>
    <n v="1862.88"/>
    <x v="1"/>
    <x v="0"/>
    <x v="1"/>
    <s v="Online"/>
    <x v="8"/>
    <x v="713"/>
  </r>
  <r>
    <x v="51"/>
    <x v="278"/>
    <x v="0"/>
    <x v="3"/>
    <x v="714"/>
    <x v="28"/>
    <x v="1"/>
    <n v="4503.7299999999996"/>
    <n v="4879.8799999999901"/>
    <x v="1"/>
    <x v="19"/>
    <x v="1"/>
    <s v="Retail"/>
    <x v="12"/>
    <x v="714"/>
  </r>
  <r>
    <x v="22"/>
    <x v="147"/>
    <x v="1"/>
    <x v="0"/>
    <x v="715"/>
    <x v="24"/>
    <x v="3"/>
    <n v="3160.61"/>
    <n v="3273.22"/>
    <x v="0"/>
    <x v="4"/>
    <x v="2"/>
    <s v="Retail"/>
    <x v="11"/>
    <x v="715"/>
  </r>
  <r>
    <x v="44"/>
    <x v="306"/>
    <x v="1"/>
    <x v="1"/>
    <x v="716"/>
    <x v="26"/>
    <x v="3"/>
    <n v="2221.31"/>
    <n v="2494.48"/>
    <x v="0"/>
    <x v="20"/>
    <x v="1"/>
    <s v="Online"/>
    <x v="13"/>
    <x v="716"/>
  </r>
  <r>
    <x v="64"/>
    <x v="307"/>
    <x v="4"/>
    <x v="1"/>
    <x v="717"/>
    <x v="33"/>
    <x v="2"/>
    <n v="241.85"/>
    <n v="613.09"/>
    <x v="0"/>
    <x v="18"/>
    <x v="0"/>
    <s v="Online"/>
    <x v="17"/>
    <x v="717"/>
  </r>
  <r>
    <x v="82"/>
    <x v="253"/>
    <x v="3"/>
    <x v="0"/>
    <x v="718"/>
    <x v="32"/>
    <x v="2"/>
    <n v="2522.7600000000002"/>
    <n v="2840.14"/>
    <x v="0"/>
    <x v="17"/>
    <x v="2"/>
    <s v="Retail"/>
    <x v="7"/>
    <x v="718"/>
  </r>
  <r>
    <x v="64"/>
    <x v="277"/>
    <x v="1"/>
    <x v="0"/>
    <x v="719"/>
    <x v="43"/>
    <x v="3"/>
    <n v="3835.64"/>
    <n v="4076.77"/>
    <x v="0"/>
    <x v="15"/>
    <x v="2"/>
    <s v="Retail"/>
    <x v="11"/>
    <x v="719"/>
  </r>
  <r>
    <x v="4"/>
    <x v="64"/>
    <x v="4"/>
    <x v="0"/>
    <x v="720"/>
    <x v="27"/>
    <x v="2"/>
    <n v="1364.51"/>
    <n v="1844.8"/>
    <x v="0"/>
    <x v="13"/>
    <x v="0"/>
    <s v="Online"/>
    <x v="15"/>
    <x v="720"/>
  </r>
  <r>
    <x v="31"/>
    <x v="308"/>
    <x v="1"/>
    <x v="0"/>
    <x v="721"/>
    <x v="43"/>
    <x v="1"/>
    <n v="4043.53"/>
    <n v="4384.8500000000004"/>
    <x v="1"/>
    <x v="6"/>
    <x v="0"/>
    <s v="Online"/>
    <x v="11"/>
    <x v="721"/>
  </r>
  <r>
    <x v="5"/>
    <x v="309"/>
    <x v="3"/>
    <x v="0"/>
    <x v="722"/>
    <x v="33"/>
    <x v="3"/>
    <n v="1296.44"/>
    <n v="1751.24"/>
    <x v="1"/>
    <x v="20"/>
    <x v="0"/>
    <s v="Online"/>
    <x v="7"/>
    <x v="722"/>
  </r>
  <r>
    <x v="29"/>
    <x v="217"/>
    <x v="2"/>
    <x v="1"/>
    <x v="723"/>
    <x v="28"/>
    <x v="1"/>
    <n v="4127.54"/>
    <n v="4495.13"/>
    <x v="1"/>
    <x v="18"/>
    <x v="1"/>
    <s v="Retail"/>
    <x v="5"/>
    <x v="723"/>
  </r>
  <r>
    <x v="59"/>
    <x v="212"/>
    <x v="3"/>
    <x v="1"/>
    <x v="724"/>
    <x v="25"/>
    <x v="1"/>
    <n v="472.08"/>
    <n v="842.46"/>
    <x v="1"/>
    <x v="11"/>
    <x v="0"/>
    <s v="Retail"/>
    <x v="8"/>
    <x v="724"/>
  </r>
  <r>
    <x v="8"/>
    <x v="48"/>
    <x v="0"/>
    <x v="3"/>
    <x v="725"/>
    <x v="43"/>
    <x v="2"/>
    <n v="4337.6099999999997"/>
    <n v="4386.82"/>
    <x v="0"/>
    <x v="10"/>
    <x v="2"/>
    <s v="Online"/>
    <x v="12"/>
    <x v="725"/>
  </r>
  <r>
    <x v="49"/>
    <x v="236"/>
    <x v="1"/>
    <x v="3"/>
    <x v="726"/>
    <x v="44"/>
    <x v="1"/>
    <n v="2520.9699999999998"/>
    <n v="2707.1099999999901"/>
    <x v="1"/>
    <x v="26"/>
    <x v="0"/>
    <s v="Retail"/>
    <x v="16"/>
    <x v="726"/>
  </r>
  <r>
    <x v="73"/>
    <x v="306"/>
    <x v="1"/>
    <x v="2"/>
    <x v="727"/>
    <x v="5"/>
    <x v="2"/>
    <n v="1517.86"/>
    <n v="1948.46"/>
    <x v="1"/>
    <x v="3"/>
    <x v="2"/>
    <s v="Online"/>
    <x v="2"/>
    <x v="727"/>
  </r>
  <r>
    <x v="88"/>
    <x v="310"/>
    <x v="0"/>
    <x v="3"/>
    <x v="728"/>
    <x v="19"/>
    <x v="0"/>
    <n v="1362.31"/>
    <n v="1486.29"/>
    <x v="0"/>
    <x v="13"/>
    <x v="2"/>
    <s v="Retail"/>
    <x v="12"/>
    <x v="728"/>
  </r>
  <r>
    <x v="94"/>
    <x v="207"/>
    <x v="0"/>
    <x v="3"/>
    <x v="729"/>
    <x v="27"/>
    <x v="2"/>
    <n v="2188.4499999999998"/>
    <n v="2255.0499999999902"/>
    <x v="1"/>
    <x v="1"/>
    <x v="1"/>
    <s v="Retail"/>
    <x v="12"/>
    <x v="729"/>
  </r>
  <r>
    <x v="84"/>
    <x v="31"/>
    <x v="2"/>
    <x v="0"/>
    <x v="730"/>
    <x v="43"/>
    <x v="1"/>
    <n v="4995.3"/>
    <n v="5165.09"/>
    <x v="0"/>
    <x v="19"/>
    <x v="0"/>
    <s v="Online"/>
    <x v="19"/>
    <x v="730"/>
  </r>
  <r>
    <x v="37"/>
    <x v="112"/>
    <x v="1"/>
    <x v="0"/>
    <x v="731"/>
    <x v="46"/>
    <x v="0"/>
    <n v="1140.6199999999999"/>
    <n v="1258.6299999999901"/>
    <x v="0"/>
    <x v="16"/>
    <x v="1"/>
    <s v="Online"/>
    <x v="11"/>
    <x v="731"/>
  </r>
  <r>
    <x v="31"/>
    <x v="294"/>
    <x v="1"/>
    <x v="3"/>
    <x v="732"/>
    <x v="0"/>
    <x v="2"/>
    <n v="560.91999999999996"/>
    <n v="1024.31"/>
    <x v="0"/>
    <x v="16"/>
    <x v="0"/>
    <s v="Online"/>
    <x v="16"/>
    <x v="732"/>
  </r>
  <r>
    <x v="24"/>
    <x v="147"/>
    <x v="2"/>
    <x v="2"/>
    <x v="733"/>
    <x v="34"/>
    <x v="1"/>
    <n v="2945.92"/>
    <n v="3381.22"/>
    <x v="0"/>
    <x v="10"/>
    <x v="0"/>
    <s v="Retail"/>
    <x v="10"/>
    <x v="733"/>
  </r>
  <r>
    <x v="39"/>
    <x v="189"/>
    <x v="4"/>
    <x v="0"/>
    <x v="734"/>
    <x v="45"/>
    <x v="3"/>
    <n v="2468.29"/>
    <n v="2723.13"/>
    <x v="0"/>
    <x v="4"/>
    <x v="0"/>
    <s v="Retail"/>
    <x v="15"/>
    <x v="734"/>
  </r>
  <r>
    <x v="2"/>
    <x v="118"/>
    <x v="2"/>
    <x v="3"/>
    <x v="735"/>
    <x v="18"/>
    <x v="3"/>
    <n v="2644.77"/>
    <n v="2684.83"/>
    <x v="1"/>
    <x v="19"/>
    <x v="0"/>
    <s v="Online"/>
    <x v="4"/>
    <x v="735"/>
  </r>
  <r>
    <x v="96"/>
    <x v="218"/>
    <x v="3"/>
    <x v="3"/>
    <x v="736"/>
    <x v="5"/>
    <x v="2"/>
    <n v="3351.33"/>
    <n v="3711.47"/>
    <x v="1"/>
    <x v="28"/>
    <x v="0"/>
    <s v="Retail"/>
    <x v="14"/>
    <x v="736"/>
  </r>
  <r>
    <x v="66"/>
    <x v="64"/>
    <x v="1"/>
    <x v="1"/>
    <x v="737"/>
    <x v="27"/>
    <x v="2"/>
    <n v="1372.36"/>
    <n v="1687.83"/>
    <x v="1"/>
    <x v="3"/>
    <x v="2"/>
    <s v="Online"/>
    <x v="13"/>
    <x v="737"/>
  </r>
  <r>
    <x v="52"/>
    <x v="311"/>
    <x v="0"/>
    <x v="2"/>
    <x v="738"/>
    <x v="25"/>
    <x v="3"/>
    <n v="4557.79"/>
    <n v="5043.3599999999997"/>
    <x v="0"/>
    <x v="6"/>
    <x v="2"/>
    <s v="Retail"/>
    <x v="3"/>
    <x v="738"/>
  </r>
  <r>
    <x v="12"/>
    <x v="312"/>
    <x v="3"/>
    <x v="1"/>
    <x v="739"/>
    <x v="47"/>
    <x v="1"/>
    <n v="2206.58"/>
    <n v="2490.4699999999998"/>
    <x v="1"/>
    <x v="24"/>
    <x v="0"/>
    <s v="Online"/>
    <x v="8"/>
    <x v="739"/>
  </r>
  <r>
    <x v="93"/>
    <x v="313"/>
    <x v="1"/>
    <x v="2"/>
    <x v="740"/>
    <x v="41"/>
    <x v="1"/>
    <n v="688.98"/>
    <n v="863.81"/>
    <x v="1"/>
    <x v="29"/>
    <x v="2"/>
    <s v="Retail"/>
    <x v="2"/>
    <x v="740"/>
  </r>
  <r>
    <x v="7"/>
    <x v="267"/>
    <x v="2"/>
    <x v="0"/>
    <x v="741"/>
    <x v="9"/>
    <x v="1"/>
    <n v="3724.38"/>
    <n v="3988.7"/>
    <x v="1"/>
    <x v="21"/>
    <x v="1"/>
    <s v="Retail"/>
    <x v="19"/>
    <x v="741"/>
  </r>
  <r>
    <x v="84"/>
    <x v="105"/>
    <x v="3"/>
    <x v="2"/>
    <x v="742"/>
    <x v="11"/>
    <x v="2"/>
    <n v="3233.37"/>
    <n v="3723.21"/>
    <x v="1"/>
    <x v="20"/>
    <x v="1"/>
    <s v="Retail"/>
    <x v="6"/>
    <x v="742"/>
  </r>
  <r>
    <x v="8"/>
    <x v="185"/>
    <x v="1"/>
    <x v="3"/>
    <x v="743"/>
    <x v="28"/>
    <x v="0"/>
    <n v="1612.93"/>
    <n v="1964.15"/>
    <x v="0"/>
    <x v="19"/>
    <x v="1"/>
    <s v="Retail"/>
    <x v="16"/>
    <x v="743"/>
  </r>
  <r>
    <x v="70"/>
    <x v="73"/>
    <x v="4"/>
    <x v="3"/>
    <x v="744"/>
    <x v="3"/>
    <x v="0"/>
    <n v="3126.52"/>
    <n v="3465.79"/>
    <x v="1"/>
    <x v="4"/>
    <x v="0"/>
    <s v="Online"/>
    <x v="18"/>
    <x v="744"/>
  </r>
  <r>
    <x v="55"/>
    <x v="248"/>
    <x v="4"/>
    <x v="2"/>
    <x v="745"/>
    <x v="17"/>
    <x v="0"/>
    <n v="1138.32"/>
    <n v="1266.25"/>
    <x v="0"/>
    <x v="6"/>
    <x v="0"/>
    <s v="Retail"/>
    <x v="9"/>
    <x v="745"/>
  </r>
  <r>
    <x v="78"/>
    <x v="309"/>
    <x v="0"/>
    <x v="2"/>
    <x v="746"/>
    <x v="28"/>
    <x v="0"/>
    <n v="2251.9499999999998"/>
    <n v="2626.3199999999902"/>
    <x v="0"/>
    <x v="5"/>
    <x v="2"/>
    <s v="Online"/>
    <x v="3"/>
    <x v="746"/>
  </r>
  <r>
    <x v="93"/>
    <x v="55"/>
    <x v="1"/>
    <x v="2"/>
    <x v="747"/>
    <x v="32"/>
    <x v="0"/>
    <n v="4502.09"/>
    <n v="4879.72"/>
    <x v="1"/>
    <x v="9"/>
    <x v="2"/>
    <s v="Online"/>
    <x v="2"/>
    <x v="747"/>
  </r>
  <r>
    <x v="3"/>
    <x v="314"/>
    <x v="4"/>
    <x v="1"/>
    <x v="748"/>
    <x v="26"/>
    <x v="2"/>
    <n v="710.99"/>
    <n v="876.46"/>
    <x v="0"/>
    <x v="21"/>
    <x v="2"/>
    <s v="Online"/>
    <x v="17"/>
    <x v="748"/>
  </r>
  <r>
    <x v="21"/>
    <x v="172"/>
    <x v="2"/>
    <x v="2"/>
    <x v="749"/>
    <x v="25"/>
    <x v="2"/>
    <n v="1964.15"/>
    <n v="2211.17"/>
    <x v="0"/>
    <x v="5"/>
    <x v="1"/>
    <s v="Online"/>
    <x v="10"/>
    <x v="749"/>
  </r>
  <r>
    <x v="11"/>
    <x v="143"/>
    <x v="1"/>
    <x v="0"/>
    <x v="750"/>
    <x v="1"/>
    <x v="0"/>
    <n v="4114.66"/>
    <n v="4269.0199999999904"/>
    <x v="0"/>
    <x v="29"/>
    <x v="1"/>
    <s v="Retail"/>
    <x v="11"/>
    <x v="750"/>
  </r>
  <r>
    <x v="69"/>
    <x v="34"/>
    <x v="2"/>
    <x v="1"/>
    <x v="751"/>
    <x v="27"/>
    <x v="2"/>
    <n v="4848.9799999999996"/>
    <n v="4985.75"/>
    <x v="0"/>
    <x v="2"/>
    <x v="1"/>
    <s v="Online"/>
    <x v="5"/>
    <x v="751"/>
  </r>
  <r>
    <x v="45"/>
    <x v="266"/>
    <x v="2"/>
    <x v="1"/>
    <x v="752"/>
    <x v="18"/>
    <x v="2"/>
    <n v="2296.9299999999998"/>
    <n v="2319.62"/>
    <x v="0"/>
    <x v="10"/>
    <x v="1"/>
    <s v="Retail"/>
    <x v="5"/>
    <x v="752"/>
  </r>
  <r>
    <x v="28"/>
    <x v="217"/>
    <x v="4"/>
    <x v="2"/>
    <x v="753"/>
    <x v="28"/>
    <x v="0"/>
    <n v="2559.65"/>
    <n v="2709.4"/>
    <x v="0"/>
    <x v="1"/>
    <x v="2"/>
    <s v="Retail"/>
    <x v="9"/>
    <x v="753"/>
  </r>
  <r>
    <x v="49"/>
    <x v="176"/>
    <x v="1"/>
    <x v="0"/>
    <x v="754"/>
    <x v="48"/>
    <x v="1"/>
    <n v="2882.25"/>
    <n v="3163.7"/>
    <x v="0"/>
    <x v="8"/>
    <x v="0"/>
    <s v="Retail"/>
    <x v="11"/>
    <x v="754"/>
  </r>
  <r>
    <x v="41"/>
    <x v="13"/>
    <x v="3"/>
    <x v="1"/>
    <x v="755"/>
    <x v="7"/>
    <x v="2"/>
    <n v="4665.12"/>
    <n v="4675.8999999999996"/>
    <x v="1"/>
    <x v="27"/>
    <x v="0"/>
    <s v="Retail"/>
    <x v="8"/>
    <x v="755"/>
  </r>
  <r>
    <x v="45"/>
    <x v="315"/>
    <x v="4"/>
    <x v="3"/>
    <x v="756"/>
    <x v="5"/>
    <x v="1"/>
    <n v="4298.12"/>
    <n v="4446.8999999999996"/>
    <x v="1"/>
    <x v="15"/>
    <x v="1"/>
    <s v="Online"/>
    <x v="18"/>
    <x v="756"/>
  </r>
  <r>
    <x v="22"/>
    <x v="49"/>
    <x v="4"/>
    <x v="1"/>
    <x v="757"/>
    <x v="13"/>
    <x v="2"/>
    <n v="894.48"/>
    <n v="1336.37"/>
    <x v="0"/>
    <x v="16"/>
    <x v="0"/>
    <s v="Retail"/>
    <x v="17"/>
    <x v="757"/>
  </r>
  <r>
    <x v="19"/>
    <x v="316"/>
    <x v="1"/>
    <x v="2"/>
    <x v="758"/>
    <x v="16"/>
    <x v="2"/>
    <n v="2211.9499999999998"/>
    <n v="2512.8399999999901"/>
    <x v="0"/>
    <x v="14"/>
    <x v="0"/>
    <s v="Online"/>
    <x v="2"/>
    <x v="758"/>
  </r>
  <r>
    <x v="50"/>
    <x v="314"/>
    <x v="1"/>
    <x v="0"/>
    <x v="759"/>
    <x v="1"/>
    <x v="0"/>
    <n v="2346.8000000000002"/>
    <n v="2654.65"/>
    <x v="1"/>
    <x v="9"/>
    <x v="0"/>
    <s v="Retail"/>
    <x v="11"/>
    <x v="759"/>
  </r>
  <r>
    <x v="69"/>
    <x v="185"/>
    <x v="2"/>
    <x v="2"/>
    <x v="760"/>
    <x v="36"/>
    <x v="2"/>
    <n v="3956.03"/>
    <n v="4163.68"/>
    <x v="1"/>
    <x v="7"/>
    <x v="1"/>
    <s v="Retail"/>
    <x v="10"/>
    <x v="760"/>
  </r>
  <r>
    <x v="28"/>
    <x v="78"/>
    <x v="1"/>
    <x v="3"/>
    <x v="761"/>
    <x v="20"/>
    <x v="3"/>
    <n v="3034.32"/>
    <n v="3375.79"/>
    <x v="1"/>
    <x v="24"/>
    <x v="2"/>
    <s v="Online"/>
    <x v="16"/>
    <x v="761"/>
  </r>
  <r>
    <x v="62"/>
    <x v="88"/>
    <x v="2"/>
    <x v="3"/>
    <x v="762"/>
    <x v="16"/>
    <x v="3"/>
    <n v="3288.39"/>
    <n v="3391.46"/>
    <x v="1"/>
    <x v="8"/>
    <x v="2"/>
    <s v="Retail"/>
    <x v="4"/>
    <x v="762"/>
  </r>
  <r>
    <x v="10"/>
    <x v="38"/>
    <x v="4"/>
    <x v="3"/>
    <x v="763"/>
    <x v="24"/>
    <x v="0"/>
    <n v="4991.09"/>
    <n v="5402.28"/>
    <x v="0"/>
    <x v="11"/>
    <x v="0"/>
    <s v="Retail"/>
    <x v="18"/>
    <x v="763"/>
  </r>
  <r>
    <x v="18"/>
    <x v="195"/>
    <x v="0"/>
    <x v="2"/>
    <x v="764"/>
    <x v="47"/>
    <x v="1"/>
    <n v="421.05"/>
    <n v="488.23"/>
    <x v="0"/>
    <x v="17"/>
    <x v="2"/>
    <s v="Retail"/>
    <x v="3"/>
    <x v="764"/>
  </r>
  <r>
    <x v="75"/>
    <x v="299"/>
    <x v="3"/>
    <x v="1"/>
    <x v="765"/>
    <x v="27"/>
    <x v="1"/>
    <n v="1153.9000000000001"/>
    <n v="1485.34"/>
    <x v="1"/>
    <x v="26"/>
    <x v="2"/>
    <s v="Retail"/>
    <x v="8"/>
    <x v="765"/>
  </r>
  <r>
    <x v="53"/>
    <x v="235"/>
    <x v="4"/>
    <x v="2"/>
    <x v="766"/>
    <x v="30"/>
    <x v="1"/>
    <n v="2069.08"/>
    <n v="2246.2399999999998"/>
    <x v="1"/>
    <x v="18"/>
    <x v="1"/>
    <s v="Retail"/>
    <x v="9"/>
    <x v="766"/>
  </r>
  <r>
    <x v="90"/>
    <x v="125"/>
    <x v="1"/>
    <x v="0"/>
    <x v="767"/>
    <x v="18"/>
    <x v="3"/>
    <n v="1771.52"/>
    <n v="2147.8000000000002"/>
    <x v="1"/>
    <x v="17"/>
    <x v="1"/>
    <s v="Online"/>
    <x v="11"/>
    <x v="767"/>
  </r>
  <r>
    <x v="35"/>
    <x v="317"/>
    <x v="3"/>
    <x v="1"/>
    <x v="768"/>
    <x v="11"/>
    <x v="1"/>
    <n v="157.15"/>
    <n v="436.53"/>
    <x v="1"/>
    <x v="14"/>
    <x v="0"/>
    <s v="Retail"/>
    <x v="8"/>
    <x v="768"/>
  </r>
  <r>
    <x v="20"/>
    <x v="318"/>
    <x v="0"/>
    <x v="3"/>
    <x v="769"/>
    <x v="28"/>
    <x v="1"/>
    <n v="504.3"/>
    <n v="735.95"/>
    <x v="0"/>
    <x v="5"/>
    <x v="0"/>
    <s v="Retail"/>
    <x v="12"/>
    <x v="769"/>
  </r>
  <r>
    <x v="42"/>
    <x v="50"/>
    <x v="0"/>
    <x v="2"/>
    <x v="770"/>
    <x v="13"/>
    <x v="0"/>
    <n v="3420.72"/>
    <n v="3513.74"/>
    <x v="1"/>
    <x v="3"/>
    <x v="0"/>
    <s v="Online"/>
    <x v="3"/>
    <x v="770"/>
  </r>
  <r>
    <x v="77"/>
    <x v="244"/>
    <x v="2"/>
    <x v="3"/>
    <x v="771"/>
    <x v="8"/>
    <x v="1"/>
    <n v="4402.66"/>
    <n v="4724.7"/>
    <x v="1"/>
    <x v="15"/>
    <x v="1"/>
    <s v="Retail"/>
    <x v="4"/>
    <x v="771"/>
  </r>
  <r>
    <x v="28"/>
    <x v="319"/>
    <x v="3"/>
    <x v="3"/>
    <x v="772"/>
    <x v="19"/>
    <x v="3"/>
    <n v="2595.42"/>
    <n v="3083.06"/>
    <x v="1"/>
    <x v="4"/>
    <x v="2"/>
    <s v="Online"/>
    <x v="14"/>
    <x v="772"/>
  </r>
  <r>
    <x v="63"/>
    <x v="172"/>
    <x v="2"/>
    <x v="0"/>
    <x v="773"/>
    <x v="17"/>
    <x v="3"/>
    <n v="2719"/>
    <n v="3133.55"/>
    <x v="0"/>
    <x v="22"/>
    <x v="1"/>
    <s v="Retail"/>
    <x v="19"/>
    <x v="773"/>
  </r>
  <r>
    <x v="81"/>
    <x v="267"/>
    <x v="4"/>
    <x v="1"/>
    <x v="774"/>
    <x v="22"/>
    <x v="3"/>
    <n v="1312.71"/>
    <n v="1352.11"/>
    <x v="0"/>
    <x v="20"/>
    <x v="1"/>
    <s v="Retail"/>
    <x v="17"/>
    <x v="774"/>
  </r>
  <r>
    <x v="98"/>
    <x v="251"/>
    <x v="3"/>
    <x v="0"/>
    <x v="775"/>
    <x v="1"/>
    <x v="0"/>
    <n v="3850.99"/>
    <n v="4045.3399999999901"/>
    <x v="0"/>
    <x v="28"/>
    <x v="2"/>
    <s v="Online"/>
    <x v="7"/>
    <x v="775"/>
  </r>
  <r>
    <x v="46"/>
    <x v="320"/>
    <x v="4"/>
    <x v="0"/>
    <x v="776"/>
    <x v="40"/>
    <x v="0"/>
    <n v="3771.38"/>
    <n v="4234.92"/>
    <x v="1"/>
    <x v="24"/>
    <x v="2"/>
    <s v="Retail"/>
    <x v="15"/>
    <x v="776"/>
  </r>
  <r>
    <x v="51"/>
    <x v="211"/>
    <x v="2"/>
    <x v="0"/>
    <x v="777"/>
    <x v="12"/>
    <x v="2"/>
    <n v="2962.41"/>
    <n v="3218.8999999999901"/>
    <x v="1"/>
    <x v="12"/>
    <x v="0"/>
    <s v="Retail"/>
    <x v="19"/>
    <x v="777"/>
  </r>
  <r>
    <x v="60"/>
    <x v="150"/>
    <x v="3"/>
    <x v="3"/>
    <x v="778"/>
    <x v="7"/>
    <x v="1"/>
    <n v="1102.69"/>
    <n v="1437.12"/>
    <x v="1"/>
    <x v="1"/>
    <x v="2"/>
    <s v="Online"/>
    <x v="14"/>
    <x v="778"/>
  </r>
  <r>
    <x v="91"/>
    <x v="321"/>
    <x v="2"/>
    <x v="0"/>
    <x v="779"/>
    <x v="18"/>
    <x v="0"/>
    <n v="530.24"/>
    <n v="987.41"/>
    <x v="0"/>
    <x v="10"/>
    <x v="2"/>
    <s v="Online"/>
    <x v="19"/>
    <x v="779"/>
  </r>
  <r>
    <x v="31"/>
    <x v="93"/>
    <x v="3"/>
    <x v="0"/>
    <x v="780"/>
    <x v="5"/>
    <x v="3"/>
    <n v="367.98"/>
    <n v="806.14"/>
    <x v="0"/>
    <x v="20"/>
    <x v="2"/>
    <s v="Retail"/>
    <x v="7"/>
    <x v="780"/>
  </r>
  <r>
    <x v="97"/>
    <x v="319"/>
    <x v="2"/>
    <x v="1"/>
    <x v="781"/>
    <x v="11"/>
    <x v="3"/>
    <n v="2983.85"/>
    <n v="3239.74"/>
    <x v="1"/>
    <x v="29"/>
    <x v="2"/>
    <s v="Online"/>
    <x v="5"/>
    <x v="781"/>
  </r>
  <r>
    <x v="83"/>
    <x v="193"/>
    <x v="0"/>
    <x v="1"/>
    <x v="782"/>
    <x v="4"/>
    <x v="0"/>
    <n v="4133.92"/>
    <n v="4358.37"/>
    <x v="1"/>
    <x v="9"/>
    <x v="0"/>
    <s v="Retail"/>
    <x v="1"/>
    <x v="782"/>
  </r>
  <r>
    <x v="99"/>
    <x v="178"/>
    <x v="2"/>
    <x v="0"/>
    <x v="783"/>
    <x v="46"/>
    <x v="0"/>
    <n v="4298.74"/>
    <n v="4475.1899999999996"/>
    <x v="0"/>
    <x v="28"/>
    <x v="0"/>
    <s v="Online"/>
    <x v="19"/>
    <x v="783"/>
  </r>
  <r>
    <x v="87"/>
    <x v="322"/>
    <x v="0"/>
    <x v="1"/>
    <x v="784"/>
    <x v="22"/>
    <x v="0"/>
    <n v="2344.9299999999998"/>
    <n v="2707.25"/>
    <x v="1"/>
    <x v="7"/>
    <x v="2"/>
    <s v="Retail"/>
    <x v="1"/>
    <x v="784"/>
  </r>
  <r>
    <x v="16"/>
    <x v="254"/>
    <x v="2"/>
    <x v="1"/>
    <x v="785"/>
    <x v="47"/>
    <x v="2"/>
    <n v="3932.14"/>
    <n v="4082.7599999999902"/>
    <x v="1"/>
    <x v="16"/>
    <x v="2"/>
    <s v="Online"/>
    <x v="5"/>
    <x v="785"/>
  </r>
  <r>
    <x v="68"/>
    <x v="175"/>
    <x v="3"/>
    <x v="0"/>
    <x v="786"/>
    <x v="14"/>
    <x v="3"/>
    <n v="4737.0600000000004"/>
    <n v="4869.5"/>
    <x v="1"/>
    <x v="17"/>
    <x v="0"/>
    <s v="Online"/>
    <x v="7"/>
    <x v="786"/>
  </r>
  <r>
    <x v="20"/>
    <x v="257"/>
    <x v="3"/>
    <x v="3"/>
    <x v="787"/>
    <x v="6"/>
    <x v="2"/>
    <n v="1412.09"/>
    <n v="1596.6499999999901"/>
    <x v="0"/>
    <x v="17"/>
    <x v="0"/>
    <s v="Online"/>
    <x v="14"/>
    <x v="787"/>
  </r>
  <r>
    <x v="65"/>
    <x v="212"/>
    <x v="3"/>
    <x v="0"/>
    <x v="788"/>
    <x v="32"/>
    <x v="2"/>
    <n v="2019.9"/>
    <n v="2116.7399999999998"/>
    <x v="1"/>
    <x v="1"/>
    <x v="2"/>
    <s v="Online"/>
    <x v="7"/>
    <x v="788"/>
  </r>
  <r>
    <x v="37"/>
    <x v="157"/>
    <x v="1"/>
    <x v="1"/>
    <x v="789"/>
    <x v="44"/>
    <x v="1"/>
    <n v="4660.82"/>
    <n v="5011.4299999999903"/>
    <x v="1"/>
    <x v="17"/>
    <x v="1"/>
    <s v="Online"/>
    <x v="13"/>
    <x v="789"/>
  </r>
  <r>
    <x v="78"/>
    <x v="323"/>
    <x v="4"/>
    <x v="3"/>
    <x v="790"/>
    <x v="17"/>
    <x v="3"/>
    <n v="1724.24"/>
    <n v="2036.2"/>
    <x v="1"/>
    <x v="22"/>
    <x v="0"/>
    <s v="Online"/>
    <x v="18"/>
    <x v="790"/>
  </r>
  <r>
    <x v="24"/>
    <x v="39"/>
    <x v="3"/>
    <x v="2"/>
    <x v="791"/>
    <x v="33"/>
    <x v="3"/>
    <n v="4573.6899999999996"/>
    <n v="4820.2999999999902"/>
    <x v="1"/>
    <x v="14"/>
    <x v="0"/>
    <s v="Online"/>
    <x v="6"/>
    <x v="791"/>
  </r>
  <r>
    <x v="67"/>
    <x v="324"/>
    <x v="0"/>
    <x v="3"/>
    <x v="792"/>
    <x v="39"/>
    <x v="0"/>
    <n v="4906.17"/>
    <n v="5107.43"/>
    <x v="0"/>
    <x v="15"/>
    <x v="0"/>
    <s v="Online"/>
    <x v="12"/>
    <x v="792"/>
  </r>
  <r>
    <x v="59"/>
    <x v="325"/>
    <x v="3"/>
    <x v="1"/>
    <x v="793"/>
    <x v="27"/>
    <x v="0"/>
    <n v="3325.96"/>
    <n v="3781.4"/>
    <x v="0"/>
    <x v="29"/>
    <x v="2"/>
    <s v="Online"/>
    <x v="8"/>
    <x v="793"/>
  </r>
  <r>
    <x v="61"/>
    <x v="45"/>
    <x v="1"/>
    <x v="3"/>
    <x v="794"/>
    <x v="47"/>
    <x v="1"/>
    <n v="4093.61"/>
    <n v="4117.88"/>
    <x v="0"/>
    <x v="7"/>
    <x v="2"/>
    <s v="Retail"/>
    <x v="16"/>
    <x v="794"/>
  </r>
  <r>
    <x v="53"/>
    <x v="11"/>
    <x v="0"/>
    <x v="0"/>
    <x v="795"/>
    <x v="30"/>
    <x v="2"/>
    <n v="3760.25"/>
    <n v="4147.1099999999997"/>
    <x v="1"/>
    <x v="20"/>
    <x v="0"/>
    <s v="Online"/>
    <x v="0"/>
    <x v="795"/>
  </r>
  <r>
    <x v="23"/>
    <x v="178"/>
    <x v="1"/>
    <x v="2"/>
    <x v="796"/>
    <x v="44"/>
    <x v="0"/>
    <n v="3512.69"/>
    <n v="3964.63"/>
    <x v="0"/>
    <x v="21"/>
    <x v="2"/>
    <s v="Retail"/>
    <x v="2"/>
    <x v="796"/>
  </r>
  <r>
    <x v="74"/>
    <x v="21"/>
    <x v="0"/>
    <x v="2"/>
    <x v="797"/>
    <x v="29"/>
    <x v="0"/>
    <n v="1569.31"/>
    <n v="1798.02"/>
    <x v="1"/>
    <x v="17"/>
    <x v="2"/>
    <s v="Online"/>
    <x v="3"/>
    <x v="797"/>
  </r>
  <r>
    <x v="26"/>
    <x v="292"/>
    <x v="2"/>
    <x v="2"/>
    <x v="798"/>
    <x v="21"/>
    <x v="3"/>
    <n v="332.62"/>
    <n v="612.46"/>
    <x v="0"/>
    <x v="19"/>
    <x v="0"/>
    <s v="Retail"/>
    <x v="10"/>
    <x v="798"/>
  </r>
  <r>
    <x v="75"/>
    <x v="118"/>
    <x v="4"/>
    <x v="1"/>
    <x v="799"/>
    <x v="46"/>
    <x v="3"/>
    <n v="1748.11"/>
    <n v="2220.9"/>
    <x v="1"/>
    <x v="10"/>
    <x v="2"/>
    <s v="Retail"/>
    <x v="17"/>
    <x v="799"/>
  </r>
  <r>
    <x v="24"/>
    <x v="326"/>
    <x v="4"/>
    <x v="1"/>
    <x v="800"/>
    <x v="16"/>
    <x v="0"/>
    <n v="3351.33"/>
    <n v="3465.35"/>
    <x v="0"/>
    <x v="7"/>
    <x v="1"/>
    <s v="Online"/>
    <x v="17"/>
    <x v="800"/>
  </r>
  <r>
    <x v="77"/>
    <x v="178"/>
    <x v="1"/>
    <x v="2"/>
    <x v="801"/>
    <x v="18"/>
    <x v="3"/>
    <n v="557.52"/>
    <n v="822.39"/>
    <x v="0"/>
    <x v="12"/>
    <x v="2"/>
    <s v="Online"/>
    <x v="2"/>
    <x v="801"/>
  </r>
  <r>
    <x v="20"/>
    <x v="121"/>
    <x v="4"/>
    <x v="3"/>
    <x v="802"/>
    <x v="5"/>
    <x v="1"/>
    <n v="108.99"/>
    <n v="351.6"/>
    <x v="0"/>
    <x v="29"/>
    <x v="2"/>
    <s v="Retail"/>
    <x v="18"/>
    <x v="802"/>
  </r>
  <r>
    <x v="92"/>
    <x v="37"/>
    <x v="1"/>
    <x v="2"/>
    <x v="803"/>
    <x v="23"/>
    <x v="0"/>
    <n v="741.48"/>
    <n v="878.09"/>
    <x v="1"/>
    <x v="12"/>
    <x v="0"/>
    <s v="Retail"/>
    <x v="2"/>
    <x v="803"/>
  </r>
  <r>
    <x v="73"/>
    <x v="108"/>
    <x v="1"/>
    <x v="3"/>
    <x v="804"/>
    <x v="3"/>
    <x v="3"/>
    <n v="3592.89"/>
    <n v="4004"/>
    <x v="1"/>
    <x v="9"/>
    <x v="0"/>
    <s v="Online"/>
    <x v="16"/>
    <x v="804"/>
  </r>
  <r>
    <x v="66"/>
    <x v="75"/>
    <x v="1"/>
    <x v="3"/>
    <x v="805"/>
    <x v="20"/>
    <x v="1"/>
    <n v="4865.33"/>
    <n v="5316.13"/>
    <x v="1"/>
    <x v="18"/>
    <x v="1"/>
    <s v="Online"/>
    <x v="16"/>
    <x v="805"/>
  </r>
  <r>
    <x v="5"/>
    <x v="193"/>
    <x v="4"/>
    <x v="1"/>
    <x v="806"/>
    <x v="38"/>
    <x v="3"/>
    <n v="4916.17"/>
    <n v="5309.32"/>
    <x v="0"/>
    <x v="27"/>
    <x v="2"/>
    <s v="Online"/>
    <x v="17"/>
    <x v="806"/>
  </r>
  <r>
    <x v="33"/>
    <x v="76"/>
    <x v="1"/>
    <x v="3"/>
    <x v="807"/>
    <x v="23"/>
    <x v="3"/>
    <n v="2495.1999999999998"/>
    <n v="2600.9299999999998"/>
    <x v="1"/>
    <x v="5"/>
    <x v="1"/>
    <s v="Retail"/>
    <x v="16"/>
    <x v="807"/>
  </r>
  <r>
    <x v="51"/>
    <x v="320"/>
    <x v="4"/>
    <x v="2"/>
    <x v="808"/>
    <x v="6"/>
    <x v="3"/>
    <n v="4353.29"/>
    <n v="4405.8"/>
    <x v="1"/>
    <x v="14"/>
    <x v="1"/>
    <s v="Online"/>
    <x v="9"/>
    <x v="808"/>
  </r>
  <r>
    <x v="28"/>
    <x v="243"/>
    <x v="1"/>
    <x v="1"/>
    <x v="809"/>
    <x v="42"/>
    <x v="0"/>
    <n v="3697.29"/>
    <n v="4003.96"/>
    <x v="1"/>
    <x v="19"/>
    <x v="0"/>
    <s v="Online"/>
    <x v="13"/>
    <x v="809"/>
  </r>
  <r>
    <x v="48"/>
    <x v="222"/>
    <x v="3"/>
    <x v="0"/>
    <x v="810"/>
    <x v="25"/>
    <x v="2"/>
    <n v="2530.15"/>
    <n v="2568.13"/>
    <x v="1"/>
    <x v="30"/>
    <x v="2"/>
    <s v="Online"/>
    <x v="7"/>
    <x v="810"/>
  </r>
  <r>
    <x v="91"/>
    <x v="181"/>
    <x v="1"/>
    <x v="0"/>
    <x v="811"/>
    <x v="22"/>
    <x v="3"/>
    <n v="2885.16"/>
    <n v="3224.8399999999901"/>
    <x v="1"/>
    <x v="6"/>
    <x v="0"/>
    <s v="Online"/>
    <x v="11"/>
    <x v="811"/>
  </r>
  <r>
    <x v="56"/>
    <x v="3"/>
    <x v="0"/>
    <x v="1"/>
    <x v="812"/>
    <x v="46"/>
    <x v="1"/>
    <n v="729.27"/>
    <n v="999.18"/>
    <x v="1"/>
    <x v="15"/>
    <x v="1"/>
    <s v="Online"/>
    <x v="1"/>
    <x v="812"/>
  </r>
  <r>
    <x v="68"/>
    <x v="154"/>
    <x v="1"/>
    <x v="2"/>
    <x v="813"/>
    <x v="7"/>
    <x v="0"/>
    <n v="4691.42"/>
    <n v="5026.1899999999996"/>
    <x v="0"/>
    <x v="20"/>
    <x v="1"/>
    <s v="Retail"/>
    <x v="2"/>
    <x v="813"/>
  </r>
  <r>
    <x v="12"/>
    <x v="327"/>
    <x v="2"/>
    <x v="0"/>
    <x v="814"/>
    <x v="45"/>
    <x v="0"/>
    <n v="1792.05"/>
    <n v="2091.23"/>
    <x v="0"/>
    <x v="0"/>
    <x v="0"/>
    <s v="Retail"/>
    <x v="19"/>
    <x v="814"/>
  </r>
  <r>
    <x v="14"/>
    <x v="131"/>
    <x v="1"/>
    <x v="0"/>
    <x v="815"/>
    <x v="21"/>
    <x v="1"/>
    <n v="2258.44"/>
    <n v="2475.56"/>
    <x v="1"/>
    <x v="26"/>
    <x v="0"/>
    <s v="Online"/>
    <x v="11"/>
    <x v="815"/>
  </r>
  <r>
    <x v="71"/>
    <x v="296"/>
    <x v="0"/>
    <x v="3"/>
    <x v="816"/>
    <x v="20"/>
    <x v="3"/>
    <n v="3374.72"/>
    <n v="3483.1499999999901"/>
    <x v="0"/>
    <x v="13"/>
    <x v="0"/>
    <s v="Online"/>
    <x v="12"/>
    <x v="816"/>
  </r>
  <r>
    <x v="14"/>
    <x v="76"/>
    <x v="0"/>
    <x v="3"/>
    <x v="817"/>
    <x v="21"/>
    <x v="2"/>
    <n v="1702.82"/>
    <n v="1862.61"/>
    <x v="0"/>
    <x v="19"/>
    <x v="0"/>
    <s v="Retail"/>
    <x v="12"/>
    <x v="817"/>
  </r>
  <r>
    <x v="72"/>
    <x v="291"/>
    <x v="4"/>
    <x v="2"/>
    <x v="818"/>
    <x v="1"/>
    <x v="3"/>
    <n v="1308.58"/>
    <n v="1575.59"/>
    <x v="1"/>
    <x v="23"/>
    <x v="0"/>
    <s v="Online"/>
    <x v="9"/>
    <x v="818"/>
  </r>
  <r>
    <x v="55"/>
    <x v="216"/>
    <x v="3"/>
    <x v="1"/>
    <x v="819"/>
    <x v="39"/>
    <x v="1"/>
    <n v="3173.69"/>
    <n v="3503.11"/>
    <x v="1"/>
    <x v="2"/>
    <x v="1"/>
    <s v="Retail"/>
    <x v="8"/>
    <x v="819"/>
  </r>
  <r>
    <x v="55"/>
    <x v="160"/>
    <x v="1"/>
    <x v="2"/>
    <x v="820"/>
    <x v="6"/>
    <x v="0"/>
    <n v="173.67"/>
    <n v="565.62"/>
    <x v="0"/>
    <x v="23"/>
    <x v="0"/>
    <s v="Online"/>
    <x v="2"/>
    <x v="820"/>
  </r>
  <r>
    <x v="6"/>
    <x v="325"/>
    <x v="4"/>
    <x v="1"/>
    <x v="821"/>
    <x v="46"/>
    <x v="2"/>
    <n v="3617.59"/>
    <n v="4003.5"/>
    <x v="1"/>
    <x v="30"/>
    <x v="2"/>
    <s v="Retail"/>
    <x v="17"/>
    <x v="821"/>
  </r>
  <r>
    <x v="90"/>
    <x v="120"/>
    <x v="3"/>
    <x v="0"/>
    <x v="822"/>
    <x v="32"/>
    <x v="0"/>
    <n v="2594.42"/>
    <n v="3081.04"/>
    <x v="0"/>
    <x v="15"/>
    <x v="1"/>
    <s v="Retail"/>
    <x v="7"/>
    <x v="822"/>
  </r>
  <r>
    <x v="59"/>
    <x v="201"/>
    <x v="1"/>
    <x v="3"/>
    <x v="823"/>
    <x v="29"/>
    <x v="1"/>
    <n v="3048.48"/>
    <n v="3198.54"/>
    <x v="0"/>
    <x v="21"/>
    <x v="1"/>
    <s v="Online"/>
    <x v="16"/>
    <x v="823"/>
  </r>
  <r>
    <x v="47"/>
    <x v="315"/>
    <x v="2"/>
    <x v="2"/>
    <x v="824"/>
    <x v="6"/>
    <x v="3"/>
    <n v="3177.81"/>
    <n v="3222.65"/>
    <x v="0"/>
    <x v="4"/>
    <x v="2"/>
    <s v="Retail"/>
    <x v="10"/>
    <x v="824"/>
  </r>
  <r>
    <x v="35"/>
    <x v="10"/>
    <x v="1"/>
    <x v="2"/>
    <x v="825"/>
    <x v="10"/>
    <x v="2"/>
    <n v="2658.9"/>
    <n v="2838.27"/>
    <x v="1"/>
    <x v="26"/>
    <x v="2"/>
    <s v="Online"/>
    <x v="2"/>
    <x v="825"/>
  </r>
  <r>
    <x v="66"/>
    <x v="232"/>
    <x v="0"/>
    <x v="1"/>
    <x v="826"/>
    <x v="19"/>
    <x v="0"/>
    <n v="2933.54"/>
    <n v="3307.75"/>
    <x v="0"/>
    <x v="30"/>
    <x v="1"/>
    <s v="Retail"/>
    <x v="1"/>
    <x v="826"/>
  </r>
  <r>
    <x v="32"/>
    <x v="227"/>
    <x v="0"/>
    <x v="1"/>
    <x v="827"/>
    <x v="45"/>
    <x v="0"/>
    <n v="3434.75"/>
    <n v="3659.42"/>
    <x v="1"/>
    <x v="28"/>
    <x v="0"/>
    <s v="Online"/>
    <x v="1"/>
    <x v="827"/>
  </r>
  <r>
    <x v="64"/>
    <x v="267"/>
    <x v="2"/>
    <x v="2"/>
    <x v="828"/>
    <x v="22"/>
    <x v="0"/>
    <n v="3777.94"/>
    <n v="4188.66"/>
    <x v="1"/>
    <x v="22"/>
    <x v="1"/>
    <s v="Online"/>
    <x v="10"/>
    <x v="828"/>
  </r>
  <r>
    <x v="77"/>
    <x v="279"/>
    <x v="4"/>
    <x v="1"/>
    <x v="829"/>
    <x v="47"/>
    <x v="3"/>
    <n v="3650.89"/>
    <n v="3930.06"/>
    <x v="1"/>
    <x v="22"/>
    <x v="1"/>
    <s v="Online"/>
    <x v="17"/>
    <x v="829"/>
  </r>
  <r>
    <x v="38"/>
    <x v="326"/>
    <x v="3"/>
    <x v="2"/>
    <x v="830"/>
    <x v="30"/>
    <x v="2"/>
    <n v="4354.6000000000004"/>
    <n v="4820.2"/>
    <x v="1"/>
    <x v="6"/>
    <x v="2"/>
    <s v="Retail"/>
    <x v="6"/>
    <x v="830"/>
  </r>
  <r>
    <x v="30"/>
    <x v="328"/>
    <x v="1"/>
    <x v="2"/>
    <x v="831"/>
    <x v="16"/>
    <x v="3"/>
    <n v="987.74"/>
    <n v="1462.19"/>
    <x v="1"/>
    <x v="19"/>
    <x v="1"/>
    <s v="Online"/>
    <x v="2"/>
    <x v="831"/>
  </r>
  <r>
    <x v="65"/>
    <x v="243"/>
    <x v="0"/>
    <x v="2"/>
    <x v="832"/>
    <x v="26"/>
    <x v="3"/>
    <n v="2035.68"/>
    <n v="2079.64"/>
    <x v="0"/>
    <x v="14"/>
    <x v="0"/>
    <s v="Online"/>
    <x v="3"/>
    <x v="832"/>
  </r>
  <r>
    <x v="82"/>
    <x v="288"/>
    <x v="4"/>
    <x v="0"/>
    <x v="833"/>
    <x v="46"/>
    <x v="3"/>
    <n v="4741.59"/>
    <n v="4975.2299999999996"/>
    <x v="1"/>
    <x v="0"/>
    <x v="2"/>
    <s v="Online"/>
    <x v="15"/>
    <x v="833"/>
  </r>
  <r>
    <x v="54"/>
    <x v="88"/>
    <x v="2"/>
    <x v="1"/>
    <x v="834"/>
    <x v="27"/>
    <x v="1"/>
    <n v="2013.12"/>
    <n v="2321.87"/>
    <x v="1"/>
    <x v="13"/>
    <x v="1"/>
    <s v="Retail"/>
    <x v="5"/>
    <x v="834"/>
  </r>
  <r>
    <x v="28"/>
    <x v="116"/>
    <x v="0"/>
    <x v="3"/>
    <x v="835"/>
    <x v="46"/>
    <x v="1"/>
    <n v="668.11"/>
    <n v="803.49"/>
    <x v="1"/>
    <x v="5"/>
    <x v="1"/>
    <s v="Online"/>
    <x v="12"/>
    <x v="835"/>
  </r>
  <r>
    <x v="56"/>
    <x v="329"/>
    <x v="2"/>
    <x v="3"/>
    <x v="836"/>
    <x v="14"/>
    <x v="1"/>
    <n v="2650.95"/>
    <n v="2860.4199999999901"/>
    <x v="1"/>
    <x v="7"/>
    <x v="0"/>
    <s v="Retail"/>
    <x v="4"/>
    <x v="836"/>
  </r>
  <r>
    <x v="3"/>
    <x v="117"/>
    <x v="1"/>
    <x v="1"/>
    <x v="837"/>
    <x v="3"/>
    <x v="2"/>
    <n v="591.98"/>
    <n v="934.04"/>
    <x v="1"/>
    <x v="16"/>
    <x v="1"/>
    <s v="Retail"/>
    <x v="13"/>
    <x v="837"/>
  </r>
  <r>
    <x v="36"/>
    <x v="203"/>
    <x v="3"/>
    <x v="2"/>
    <x v="838"/>
    <x v="41"/>
    <x v="3"/>
    <n v="1054.1199999999999"/>
    <n v="1175.21999999999"/>
    <x v="0"/>
    <x v="7"/>
    <x v="1"/>
    <s v="Retail"/>
    <x v="6"/>
    <x v="838"/>
  </r>
  <r>
    <x v="61"/>
    <x v="324"/>
    <x v="0"/>
    <x v="3"/>
    <x v="839"/>
    <x v="12"/>
    <x v="3"/>
    <n v="4991.68"/>
    <n v="5296.65"/>
    <x v="1"/>
    <x v="7"/>
    <x v="1"/>
    <s v="Online"/>
    <x v="12"/>
    <x v="839"/>
  </r>
  <r>
    <x v="54"/>
    <x v="243"/>
    <x v="0"/>
    <x v="3"/>
    <x v="840"/>
    <x v="34"/>
    <x v="1"/>
    <n v="2729.75"/>
    <n v="3081.5"/>
    <x v="1"/>
    <x v="30"/>
    <x v="1"/>
    <s v="Online"/>
    <x v="12"/>
    <x v="840"/>
  </r>
  <r>
    <x v="52"/>
    <x v="330"/>
    <x v="1"/>
    <x v="1"/>
    <x v="841"/>
    <x v="30"/>
    <x v="3"/>
    <n v="1456.09"/>
    <n v="1510.4299999999901"/>
    <x v="0"/>
    <x v="22"/>
    <x v="0"/>
    <s v="Retail"/>
    <x v="13"/>
    <x v="841"/>
  </r>
  <r>
    <x v="12"/>
    <x v="331"/>
    <x v="4"/>
    <x v="3"/>
    <x v="842"/>
    <x v="27"/>
    <x v="3"/>
    <n v="4974.1400000000003"/>
    <n v="5227.93"/>
    <x v="1"/>
    <x v="5"/>
    <x v="1"/>
    <s v="Online"/>
    <x v="18"/>
    <x v="842"/>
  </r>
  <r>
    <x v="50"/>
    <x v="272"/>
    <x v="3"/>
    <x v="2"/>
    <x v="843"/>
    <x v="8"/>
    <x v="0"/>
    <n v="4834.47"/>
    <n v="4973.38"/>
    <x v="0"/>
    <x v="21"/>
    <x v="1"/>
    <s v="Online"/>
    <x v="6"/>
    <x v="843"/>
  </r>
  <r>
    <x v="70"/>
    <x v="89"/>
    <x v="0"/>
    <x v="1"/>
    <x v="844"/>
    <x v="4"/>
    <x v="3"/>
    <n v="2231.66"/>
    <n v="2596.6099999999901"/>
    <x v="0"/>
    <x v="0"/>
    <x v="1"/>
    <s v="Retail"/>
    <x v="1"/>
    <x v="844"/>
  </r>
  <r>
    <x v="65"/>
    <x v="253"/>
    <x v="3"/>
    <x v="2"/>
    <x v="845"/>
    <x v="4"/>
    <x v="0"/>
    <n v="1339"/>
    <n v="1441.88"/>
    <x v="0"/>
    <x v="10"/>
    <x v="2"/>
    <s v="Retail"/>
    <x v="6"/>
    <x v="845"/>
  </r>
  <r>
    <x v="52"/>
    <x v="332"/>
    <x v="0"/>
    <x v="3"/>
    <x v="846"/>
    <x v="33"/>
    <x v="3"/>
    <n v="4200.08"/>
    <n v="4647.28"/>
    <x v="0"/>
    <x v="1"/>
    <x v="0"/>
    <s v="Online"/>
    <x v="12"/>
    <x v="846"/>
  </r>
  <r>
    <x v="68"/>
    <x v="94"/>
    <x v="3"/>
    <x v="3"/>
    <x v="847"/>
    <x v="40"/>
    <x v="2"/>
    <n v="3592.32"/>
    <n v="3813.48"/>
    <x v="1"/>
    <x v="17"/>
    <x v="2"/>
    <s v="Retail"/>
    <x v="14"/>
    <x v="847"/>
  </r>
  <r>
    <x v="79"/>
    <x v="248"/>
    <x v="2"/>
    <x v="2"/>
    <x v="848"/>
    <x v="20"/>
    <x v="1"/>
    <n v="3450.36"/>
    <n v="3557.38"/>
    <x v="1"/>
    <x v="2"/>
    <x v="2"/>
    <s v="Online"/>
    <x v="10"/>
    <x v="848"/>
  </r>
  <r>
    <x v="79"/>
    <x v="120"/>
    <x v="0"/>
    <x v="0"/>
    <x v="849"/>
    <x v="27"/>
    <x v="0"/>
    <n v="4470.91"/>
    <n v="4695.54"/>
    <x v="0"/>
    <x v="18"/>
    <x v="0"/>
    <s v="Retail"/>
    <x v="0"/>
    <x v="849"/>
  </r>
  <r>
    <x v="84"/>
    <x v="115"/>
    <x v="3"/>
    <x v="3"/>
    <x v="850"/>
    <x v="33"/>
    <x v="1"/>
    <n v="3462.61"/>
    <n v="3672.89"/>
    <x v="0"/>
    <x v="29"/>
    <x v="2"/>
    <s v="Online"/>
    <x v="14"/>
    <x v="850"/>
  </r>
  <r>
    <x v="90"/>
    <x v="195"/>
    <x v="4"/>
    <x v="0"/>
    <x v="851"/>
    <x v="8"/>
    <x v="0"/>
    <n v="1454.8"/>
    <n v="1674.97"/>
    <x v="1"/>
    <x v="21"/>
    <x v="2"/>
    <s v="Online"/>
    <x v="15"/>
    <x v="851"/>
  </r>
  <r>
    <x v="31"/>
    <x v="312"/>
    <x v="2"/>
    <x v="3"/>
    <x v="852"/>
    <x v="12"/>
    <x v="0"/>
    <n v="3484.62"/>
    <n v="3781.5499999999902"/>
    <x v="0"/>
    <x v="5"/>
    <x v="2"/>
    <s v="Retail"/>
    <x v="4"/>
    <x v="852"/>
  </r>
  <r>
    <x v="71"/>
    <x v="80"/>
    <x v="2"/>
    <x v="0"/>
    <x v="853"/>
    <x v="29"/>
    <x v="0"/>
    <n v="1563.78"/>
    <n v="1829.1599999999901"/>
    <x v="0"/>
    <x v="25"/>
    <x v="0"/>
    <s v="Online"/>
    <x v="19"/>
    <x v="853"/>
  </r>
  <r>
    <x v="76"/>
    <x v="3"/>
    <x v="4"/>
    <x v="0"/>
    <x v="854"/>
    <x v="29"/>
    <x v="2"/>
    <n v="3808.23"/>
    <n v="3891.62"/>
    <x v="0"/>
    <x v="16"/>
    <x v="1"/>
    <s v="Online"/>
    <x v="15"/>
    <x v="854"/>
  </r>
  <r>
    <x v="59"/>
    <x v="283"/>
    <x v="3"/>
    <x v="0"/>
    <x v="855"/>
    <x v="31"/>
    <x v="3"/>
    <n v="3117.75"/>
    <n v="3159.88"/>
    <x v="1"/>
    <x v="14"/>
    <x v="0"/>
    <s v="Retail"/>
    <x v="7"/>
    <x v="855"/>
  </r>
  <r>
    <x v="39"/>
    <x v="132"/>
    <x v="1"/>
    <x v="2"/>
    <x v="856"/>
    <x v="42"/>
    <x v="0"/>
    <n v="433.19"/>
    <n v="800.6"/>
    <x v="0"/>
    <x v="2"/>
    <x v="0"/>
    <s v="Online"/>
    <x v="2"/>
    <x v="856"/>
  </r>
  <r>
    <x v="83"/>
    <x v="231"/>
    <x v="4"/>
    <x v="0"/>
    <x v="857"/>
    <x v="10"/>
    <x v="2"/>
    <n v="2588.54"/>
    <n v="2872.8"/>
    <x v="1"/>
    <x v="22"/>
    <x v="0"/>
    <s v="Online"/>
    <x v="15"/>
    <x v="857"/>
  </r>
  <r>
    <x v="8"/>
    <x v="196"/>
    <x v="3"/>
    <x v="0"/>
    <x v="858"/>
    <x v="42"/>
    <x v="0"/>
    <n v="1749.34"/>
    <n v="1935.25"/>
    <x v="1"/>
    <x v="6"/>
    <x v="2"/>
    <s v="Online"/>
    <x v="7"/>
    <x v="858"/>
  </r>
  <r>
    <x v="32"/>
    <x v="78"/>
    <x v="4"/>
    <x v="0"/>
    <x v="859"/>
    <x v="18"/>
    <x v="3"/>
    <n v="1676.42"/>
    <n v="2082.52"/>
    <x v="1"/>
    <x v="25"/>
    <x v="1"/>
    <s v="Retail"/>
    <x v="15"/>
    <x v="859"/>
  </r>
  <r>
    <x v="17"/>
    <x v="159"/>
    <x v="4"/>
    <x v="3"/>
    <x v="860"/>
    <x v="8"/>
    <x v="0"/>
    <n v="3031.17"/>
    <n v="3231.32"/>
    <x v="0"/>
    <x v="20"/>
    <x v="0"/>
    <s v="Retail"/>
    <x v="18"/>
    <x v="860"/>
  </r>
  <r>
    <x v="18"/>
    <x v="167"/>
    <x v="0"/>
    <x v="0"/>
    <x v="861"/>
    <x v="4"/>
    <x v="2"/>
    <n v="1645.51"/>
    <n v="2045.53"/>
    <x v="0"/>
    <x v="24"/>
    <x v="0"/>
    <s v="Retail"/>
    <x v="0"/>
    <x v="861"/>
  </r>
  <r>
    <x v="92"/>
    <x v="176"/>
    <x v="3"/>
    <x v="3"/>
    <x v="862"/>
    <x v="40"/>
    <x v="3"/>
    <n v="3895.62"/>
    <n v="4055.44"/>
    <x v="1"/>
    <x v="21"/>
    <x v="1"/>
    <s v="Retail"/>
    <x v="14"/>
    <x v="862"/>
  </r>
  <r>
    <x v="17"/>
    <x v="288"/>
    <x v="1"/>
    <x v="0"/>
    <x v="863"/>
    <x v="14"/>
    <x v="2"/>
    <n v="400.42"/>
    <n v="446.11"/>
    <x v="1"/>
    <x v="30"/>
    <x v="1"/>
    <s v="Retail"/>
    <x v="11"/>
    <x v="863"/>
  </r>
  <r>
    <x v="50"/>
    <x v="249"/>
    <x v="0"/>
    <x v="0"/>
    <x v="864"/>
    <x v="46"/>
    <x v="3"/>
    <n v="3318.92"/>
    <n v="3785.91"/>
    <x v="1"/>
    <x v="19"/>
    <x v="1"/>
    <s v="Online"/>
    <x v="0"/>
    <x v="864"/>
  </r>
  <r>
    <x v="92"/>
    <x v="333"/>
    <x v="4"/>
    <x v="2"/>
    <x v="865"/>
    <x v="12"/>
    <x v="3"/>
    <n v="4055.51"/>
    <n v="4258.84"/>
    <x v="0"/>
    <x v="21"/>
    <x v="2"/>
    <s v="Online"/>
    <x v="9"/>
    <x v="865"/>
  </r>
  <r>
    <x v="60"/>
    <x v="230"/>
    <x v="4"/>
    <x v="3"/>
    <x v="866"/>
    <x v="10"/>
    <x v="1"/>
    <n v="3380.52"/>
    <n v="3778.94"/>
    <x v="0"/>
    <x v="23"/>
    <x v="1"/>
    <s v="Online"/>
    <x v="18"/>
    <x v="866"/>
  </r>
  <r>
    <x v="16"/>
    <x v="288"/>
    <x v="4"/>
    <x v="0"/>
    <x v="867"/>
    <x v="3"/>
    <x v="1"/>
    <n v="2511.2800000000002"/>
    <n v="2658.06"/>
    <x v="1"/>
    <x v="27"/>
    <x v="2"/>
    <s v="Retail"/>
    <x v="15"/>
    <x v="867"/>
  </r>
  <r>
    <x v="76"/>
    <x v="17"/>
    <x v="3"/>
    <x v="3"/>
    <x v="868"/>
    <x v="26"/>
    <x v="1"/>
    <n v="4754.0200000000004"/>
    <n v="5080.74"/>
    <x v="1"/>
    <x v="2"/>
    <x v="0"/>
    <s v="Online"/>
    <x v="14"/>
    <x v="868"/>
  </r>
  <r>
    <x v="25"/>
    <x v="279"/>
    <x v="3"/>
    <x v="3"/>
    <x v="869"/>
    <x v="13"/>
    <x v="3"/>
    <n v="1534.7"/>
    <n v="1972.62"/>
    <x v="0"/>
    <x v="18"/>
    <x v="2"/>
    <s v="Retail"/>
    <x v="14"/>
    <x v="869"/>
  </r>
  <r>
    <x v="32"/>
    <x v="10"/>
    <x v="0"/>
    <x v="1"/>
    <x v="870"/>
    <x v="17"/>
    <x v="0"/>
    <n v="144.88"/>
    <n v="175.29"/>
    <x v="1"/>
    <x v="17"/>
    <x v="1"/>
    <s v="Online"/>
    <x v="1"/>
    <x v="870"/>
  </r>
  <r>
    <x v="53"/>
    <x v="293"/>
    <x v="1"/>
    <x v="2"/>
    <x v="871"/>
    <x v="28"/>
    <x v="2"/>
    <n v="2188.35"/>
    <n v="2605.3599999999901"/>
    <x v="0"/>
    <x v="2"/>
    <x v="2"/>
    <s v="Retail"/>
    <x v="2"/>
    <x v="871"/>
  </r>
  <r>
    <x v="92"/>
    <x v="200"/>
    <x v="0"/>
    <x v="2"/>
    <x v="872"/>
    <x v="23"/>
    <x v="2"/>
    <n v="213.41"/>
    <n v="503.36"/>
    <x v="0"/>
    <x v="29"/>
    <x v="1"/>
    <s v="Online"/>
    <x v="3"/>
    <x v="872"/>
  </r>
  <r>
    <x v="0"/>
    <x v="25"/>
    <x v="2"/>
    <x v="2"/>
    <x v="873"/>
    <x v="42"/>
    <x v="2"/>
    <n v="4771.99"/>
    <n v="5079.6499999999996"/>
    <x v="1"/>
    <x v="12"/>
    <x v="2"/>
    <s v="Online"/>
    <x v="10"/>
    <x v="873"/>
  </r>
  <r>
    <x v="17"/>
    <x v="196"/>
    <x v="4"/>
    <x v="1"/>
    <x v="874"/>
    <x v="31"/>
    <x v="1"/>
    <n v="1089.0899999999999"/>
    <n v="1355.44"/>
    <x v="1"/>
    <x v="18"/>
    <x v="0"/>
    <s v="Retail"/>
    <x v="17"/>
    <x v="874"/>
  </r>
  <r>
    <x v="85"/>
    <x v="188"/>
    <x v="4"/>
    <x v="1"/>
    <x v="875"/>
    <x v="30"/>
    <x v="3"/>
    <n v="3955.19"/>
    <n v="4393.68"/>
    <x v="0"/>
    <x v="14"/>
    <x v="2"/>
    <s v="Online"/>
    <x v="17"/>
    <x v="875"/>
  </r>
  <r>
    <x v="9"/>
    <x v="142"/>
    <x v="4"/>
    <x v="2"/>
    <x v="876"/>
    <x v="23"/>
    <x v="1"/>
    <n v="3884.13"/>
    <n v="3915.41"/>
    <x v="0"/>
    <x v="3"/>
    <x v="0"/>
    <s v="Online"/>
    <x v="9"/>
    <x v="876"/>
  </r>
  <r>
    <x v="76"/>
    <x v="275"/>
    <x v="0"/>
    <x v="1"/>
    <x v="877"/>
    <x v="34"/>
    <x v="0"/>
    <n v="1127.76"/>
    <n v="1265.6600000000001"/>
    <x v="0"/>
    <x v="16"/>
    <x v="1"/>
    <s v="Retail"/>
    <x v="1"/>
    <x v="877"/>
  </r>
  <r>
    <x v="16"/>
    <x v="262"/>
    <x v="0"/>
    <x v="1"/>
    <x v="878"/>
    <x v="24"/>
    <x v="3"/>
    <n v="3125.07"/>
    <n v="3564.19"/>
    <x v="0"/>
    <x v="0"/>
    <x v="0"/>
    <s v="Online"/>
    <x v="1"/>
    <x v="878"/>
  </r>
  <r>
    <x v="32"/>
    <x v="15"/>
    <x v="4"/>
    <x v="1"/>
    <x v="879"/>
    <x v="8"/>
    <x v="2"/>
    <n v="287.99"/>
    <n v="666.64"/>
    <x v="0"/>
    <x v="11"/>
    <x v="1"/>
    <s v="Online"/>
    <x v="17"/>
    <x v="879"/>
  </r>
  <r>
    <x v="48"/>
    <x v="265"/>
    <x v="0"/>
    <x v="2"/>
    <x v="880"/>
    <x v="12"/>
    <x v="1"/>
    <n v="2443.69"/>
    <n v="2462.34"/>
    <x v="1"/>
    <x v="17"/>
    <x v="1"/>
    <s v="Retail"/>
    <x v="3"/>
    <x v="880"/>
  </r>
  <r>
    <x v="68"/>
    <x v="91"/>
    <x v="3"/>
    <x v="2"/>
    <x v="881"/>
    <x v="32"/>
    <x v="1"/>
    <n v="122.5"/>
    <n v="385.83"/>
    <x v="0"/>
    <x v="15"/>
    <x v="0"/>
    <s v="Retail"/>
    <x v="6"/>
    <x v="881"/>
  </r>
  <r>
    <x v="63"/>
    <x v="159"/>
    <x v="3"/>
    <x v="2"/>
    <x v="882"/>
    <x v="7"/>
    <x v="0"/>
    <n v="4609.66"/>
    <n v="4879.1499999999996"/>
    <x v="0"/>
    <x v="23"/>
    <x v="0"/>
    <s v="Retail"/>
    <x v="6"/>
    <x v="882"/>
  </r>
  <r>
    <x v="38"/>
    <x v="109"/>
    <x v="0"/>
    <x v="1"/>
    <x v="883"/>
    <x v="34"/>
    <x v="0"/>
    <n v="4881.63"/>
    <n v="5088.0600000000004"/>
    <x v="0"/>
    <x v="28"/>
    <x v="2"/>
    <s v="Retail"/>
    <x v="1"/>
    <x v="883"/>
  </r>
  <r>
    <x v="99"/>
    <x v="210"/>
    <x v="4"/>
    <x v="2"/>
    <x v="884"/>
    <x v="37"/>
    <x v="1"/>
    <n v="1150.3"/>
    <n v="1306.02"/>
    <x v="1"/>
    <x v="18"/>
    <x v="2"/>
    <s v="Retail"/>
    <x v="9"/>
    <x v="884"/>
  </r>
  <r>
    <x v="87"/>
    <x v="241"/>
    <x v="0"/>
    <x v="1"/>
    <x v="885"/>
    <x v="31"/>
    <x v="0"/>
    <n v="1080.1199999999999"/>
    <n v="1424.1699999999901"/>
    <x v="1"/>
    <x v="15"/>
    <x v="0"/>
    <s v="Online"/>
    <x v="1"/>
    <x v="885"/>
  </r>
  <r>
    <x v="90"/>
    <x v="85"/>
    <x v="0"/>
    <x v="0"/>
    <x v="886"/>
    <x v="40"/>
    <x v="2"/>
    <n v="3780.91"/>
    <n v="3892.73"/>
    <x v="0"/>
    <x v="15"/>
    <x v="0"/>
    <s v="Retail"/>
    <x v="0"/>
    <x v="886"/>
  </r>
  <r>
    <x v="55"/>
    <x v="248"/>
    <x v="0"/>
    <x v="1"/>
    <x v="887"/>
    <x v="21"/>
    <x v="0"/>
    <n v="1304.23"/>
    <n v="1705.71"/>
    <x v="0"/>
    <x v="30"/>
    <x v="0"/>
    <s v="Retail"/>
    <x v="1"/>
    <x v="887"/>
  </r>
  <r>
    <x v="90"/>
    <x v="294"/>
    <x v="2"/>
    <x v="3"/>
    <x v="888"/>
    <x v="22"/>
    <x v="0"/>
    <n v="4480.63"/>
    <n v="4884.12"/>
    <x v="1"/>
    <x v="14"/>
    <x v="0"/>
    <s v="Online"/>
    <x v="4"/>
    <x v="888"/>
  </r>
  <r>
    <x v="42"/>
    <x v="270"/>
    <x v="3"/>
    <x v="2"/>
    <x v="889"/>
    <x v="11"/>
    <x v="1"/>
    <n v="2890.95"/>
    <n v="3104.43"/>
    <x v="1"/>
    <x v="5"/>
    <x v="1"/>
    <s v="Online"/>
    <x v="6"/>
    <x v="889"/>
  </r>
  <r>
    <x v="9"/>
    <x v="250"/>
    <x v="1"/>
    <x v="2"/>
    <x v="890"/>
    <x v="29"/>
    <x v="1"/>
    <n v="1786.35"/>
    <n v="1935.29"/>
    <x v="1"/>
    <x v="14"/>
    <x v="0"/>
    <s v="Online"/>
    <x v="2"/>
    <x v="890"/>
  </r>
  <r>
    <x v="91"/>
    <x v="126"/>
    <x v="1"/>
    <x v="3"/>
    <x v="891"/>
    <x v="20"/>
    <x v="3"/>
    <n v="4171.83"/>
    <n v="4320.93"/>
    <x v="1"/>
    <x v="17"/>
    <x v="0"/>
    <s v="Online"/>
    <x v="16"/>
    <x v="891"/>
  </r>
  <r>
    <x v="54"/>
    <x v="154"/>
    <x v="2"/>
    <x v="1"/>
    <x v="892"/>
    <x v="48"/>
    <x v="3"/>
    <n v="2492.36"/>
    <n v="2738.68"/>
    <x v="0"/>
    <x v="1"/>
    <x v="0"/>
    <s v="Online"/>
    <x v="5"/>
    <x v="892"/>
  </r>
  <r>
    <x v="51"/>
    <x v="141"/>
    <x v="0"/>
    <x v="0"/>
    <x v="893"/>
    <x v="23"/>
    <x v="1"/>
    <n v="4562.58"/>
    <n v="4925.17"/>
    <x v="1"/>
    <x v="10"/>
    <x v="0"/>
    <s v="Retail"/>
    <x v="0"/>
    <x v="893"/>
  </r>
  <r>
    <x v="14"/>
    <x v="67"/>
    <x v="2"/>
    <x v="3"/>
    <x v="894"/>
    <x v="3"/>
    <x v="0"/>
    <n v="4643.67"/>
    <n v="4829.5200000000004"/>
    <x v="0"/>
    <x v="22"/>
    <x v="1"/>
    <s v="Online"/>
    <x v="4"/>
    <x v="894"/>
  </r>
  <r>
    <x v="83"/>
    <x v="166"/>
    <x v="2"/>
    <x v="3"/>
    <x v="895"/>
    <x v="41"/>
    <x v="0"/>
    <n v="868.83"/>
    <n v="1177.75"/>
    <x v="0"/>
    <x v="5"/>
    <x v="2"/>
    <s v="Retail"/>
    <x v="4"/>
    <x v="895"/>
  </r>
  <r>
    <x v="77"/>
    <x v="318"/>
    <x v="4"/>
    <x v="1"/>
    <x v="896"/>
    <x v="44"/>
    <x v="3"/>
    <n v="61.5"/>
    <n v="258.91999999999899"/>
    <x v="1"/>
    <x v="22"/>
    <x v="2"/>
    <s v="Online"/>
    <x v="17"/>
    <x v="896"/>
  </r>
  <r>
    <x v="80"/>
    <x v="111"/>
    <x v="3"/>
    <x v="2"/>
    <x v="897"/>
    <x v="26"/>
    <x v="3"/>
    <n v="4920.46"/>
    <n v="5079.68"/>
    <x v="1"/>
    <x v="5"/>
    <x v="2"/>
    <s v="Retail"/>
    <x v="6"/>
    <x v="897"/>
  </r>
  <r>
    <x v="8"/>
    <x v="219"/>
    <x v="1"/>
    <x v="1"/>
    <x v="898"/>
    <x v="42"/>
    <x v="3"/>
    <n v="4535.38"/>
    <n v="4557.5600000000004"/>
    <x v="1"/>
    <x v="11"/>
    <x v="2"/>
    <s v="Online"/>
    <x v="13"/>
    <x v="898"/>
  </r>
  <r>
    <x v="71"/>
    <x v="53"/>
    <x v="0"/>
    <x v="3"/>
    <x v="899"/>
    <x v="34"/>
    <x v="2"/>
    <n v="324.45"/>
    <n v="336.37"/>
    <x v="1"/>
    <x v="24"/>
    <x v="2"/>
    <s v="Retail"/>
    <x v="12"/>
    <x v="899"/>
  </r>
  <r>
    <x v="33"/>
    <x v="15"/>
    <x v="1"/>
    <x v="3"/>
    <x v="900"/>
    <x v="7"/>
    <x v="2"/>
    <n v="4173.5200000000004"/>
    <n v="4294.8500000000004"/>
    <x v="0"/>
    <x v="21"/>
    <x v="1"/>
    <s v="Retail"/>
    <x v="16"/>
    <x v="900"/>
  </r>
  <r>
    <x v="29"/>
    <x v="314"/>
    <x v="1"/>
    <x v="2"/>
    <x v="901"/>
    <x v="26"/>
    <x v="3"/>
    <n v="2316.13"/>
    <n v="2525.27"/>
    <x v="0"/>
    <x v="7"/>
    <x v="2"/>
    <s v="Retail"/>
    <x v="2"/>
    <x v="901"/>
  </r>
  <r>
    <x v="56"/>
    <x v="313"/>
    <x v="3"/>
    <x v="2"/>
    <x v="902"/>
    <x v="8"/>
    <x v="0"/>
    <n v="1331.86"/>
    <n v="1758.98"/>
    <x v="0"/>
    <x v="10"/>
    <x v="1"/>
    <s v="Retail"/>
    <x v="6"/>
    <x v="902"/>
  </r>
  <r>
    <x v="8"/>
    <x v="334"/>
    <x v="1"/>
    <x v="2"/>
    <x v="903"/>
    <x v="35"/>
    <x v="3"/>
    <n v="4399.8"/>
    <n v="4801.0600000000004"/>
    <x v="1"/>
    <x v="9"/>
    <x v="1"/>
    <s v="Retail"/>
    <x v="2"/>
    <x v="903"/>
  </r>
  <r>
    <x v="93"/>
    <x v="168"/>
    <x v="1"/>
    <x v="1"/>
    <x v="904"/>
    <x v="7"/>
    <x v="2"/>
    <n v="1023.5"/>
    <n v="1164.4100000000001"/>
    <x v="0"/>
    <x v="24"/>
    <x v="2"/>
    <s v="Retail"/>
    <x v="13"/>
    <x v="904"/>
  </r>
  <r>
    <x v="45"/>
    <x v="274"/>
    <x v="2"/>
    <x v="2"/>
    <x v="905"/>
    <x v="38"/>
    <x v="0"/>
    <n v="4739.13"/>
    <n v="4868.95"/>
    <x v="1"/>
    <x v="6"/>
    <x v="2"/>
    <s v="Retail"/>
    <x v="10"/>
    <x v="905"/>
  </r>
  <r>
    <x v="38"/>
    <x v="43"/>
    <x v="3"/>
    <x v="3"/>
    <x v="906"/>
    <x v="25"/>
    <x v="2"/>
    <n v="1067.83"/>
    <n v="1189.22"/>
    <x v="0"/>
    <x v="16"/>
    <x v="2"/>
    <s v="Retail"/>
    <x v="14"/>
    <x v="906"/>
  </r>
  <r>
    <x v="38"/>
    <x v="196"/>
    <x v="4"/>
    <x v="3"/>
    <x v="907"/>
    <x v="4"/>
    <x v="0"/>
    <n v="3087.73"/>
    <n v="3263.96"/>
    <x v="1"/>
    <x v="19"/>
    <x v="0"/>
    <s v="Retail"/>
    <x v="18"/>
    <x v="907"/>
  </r>
  <r>
    <x v="87"/>
    <x v="197"/>
    <x v="0"/>
    <x v="0"/>
    <x v="908"/>
    <x v="44"/>
    <x v="2"/>
    <n v="1154.28"/>
    <n v="1408.4"/>
    <x v="0"/>
    <x v="12"/>
    <x v="1"/>
    <s v="Retail"/>
    <x v="0"/>
    <x v="908"/>
  </r>
  <r>
    <x v="97"/>
    <x v="59"/>
    <x v="1"/>
    <x v="1"/>
    <x v="909"/>
    <x v="41"/>
    <x v="0"/>
    <n v="2751.06"/>
    <n v="2976.0099999999902"/>
    <x v="0"/>
    <x v="24"/>
    <x v="2"/>
    <s v="Online"/>
    <x v="13"/>
    <x v="909"/>
  </r>
  <r>
    <x v="95"/>
    <x v="330"/>
    <x v="0"/>
    <x v="0"/>
    <x v="910"/>
    <x v="23"/>
    <x v="0"/>
    <n v="3435.68"/>
    <n v="3552.6299999999901"/>
    <x v="1"/>
    <x v="29"/>
    <x v="0"/>
    <s v="Retail"/>
    <x v="0"/>
    <x v="910"/>
  </r>
  <r>
    <x v="78"/>
    <x v="247"/>
    <x v="4"/>
    <x v="3"/>
    <x v="911"/>
    <x v="5"/>
    <x v="0"/>
    <n v="991.63"/>
    <n v="1065.55"/>
    <x v="0"/>
    <x v="20"/>
    <x v="1"/>
    <s v="Retail"/>
    <x v="18"/>
    <x v="911"/>
  </r>
  <r>
    <x v="95"/>
    <x v="114"/>
    <x v="0"/>
    <x v="0"/>
    <x v="912"/>
    <x v="37"/>
    <x v="0"/>
    <n v="2628.38"/>
    <n v="2644.54"/>
    <x v="0"/>
    <x v="1"/>
    <x v="0"/>
    <s v="Online"/>
    <x v="0"/>
    <x v="912"/>
  </r>
  <r>
    <x v="75"/>
    <x v="153"/>
    <x v="4"/>
    <x v="3"/>
    <x v="913"/>
    <x v="48"/>
    <x v="1"/>
    <n v="2371.85"/>
    <n v="2457.29"/>
    <x v="1"/>
    <x v="21"/>
    <x v="0"/>
    <s v="Retail"/>
    <x v="18"/>
    <x v="913"/>
  </r>
  <r>
    <x v="1"/>
    <x v="82"/>
    <x v="2"/>
    <x v="0"/>
    <x v="914"/>
    <x v="7"/>
    <x v="2"/>
    <n v="401.64"/>
    <n v="757.26"/>
    <x v="1"/>
    <x v="5"/>
    <x v="2"/>
    <s v="Retail"/>
    <x v="19"/>
    <x v="914"/>
  </r>
  <r>
    <x v="82"/>
    <x v="143"/>
    <x v="1"/>
    <x v="2"/>
    <x v="915"/>
    <x v="23"/>
    <x v="2"/>
    <n v="4100.62"/>
    <n v="4230"/>
    <x v="1"/>
    <x v="12"/>
    <x v="1"/>
    <s v="Online"/>
    <x v="2"/>
    <x v="915"/>
  </r>
  <r>
    <x v="50"/>
    <x v="335"/>
    <x v="4"/>
    <x v="0"/>
    <x v="916"/>
    <x v="40"/>
    <x v="1"/>
    <n v="1711.63"/>
    <n v="1951.24"/>
    <x v="1"/>
    <x v="20"/>
    <x v="0"/>
    <s v="Online"/>
    <x v="15"/>
    <x v="916"/>
  </r>
  <r>
    <x v="4"/>
    <x v="127"/>
    <x v="0"/>
    <x v="2"/>
    <x v="917"/>
    <x v="36"/>
    <x v="0"/>
    <n v="2894.18"/>
    <n v="3193.92"/>
    <x v="1"/>
    <x v="24"/>
    <x v="1"/>
    <s v="Retail"/>
    <x v="3"/>
    <x v="917"/>
  </r>
  <r>
    <x v="32"/>
    <x v="231"/>
    <x v="1"/>
    <x v="2"/>
    <x v="918"/>
    <x v="18"/>
    <x v="0"/>
    <n v="2598.1799999999998"/>
    <n v="3042.73"/>
    <x v="0"/>
    <x v="19"/>
    <x v="2"/>
    <s v="Online"/>
    <x v="2"/>
    <x v="918"/>
  </r>
  <r>
    <x v="88"/>
    <x v="291"/>
    <x v="2"/>
    <x v="1"/>
    <x v="919"/>
    <x v="27"/>
    <x v="2"/>
    <n v="2590.64"/>
    <n v="3036.18"/>
    <x v="1"/>
    <x v="8"/>
    <x v="1"/>
    <s v="Retail"/>
    <x v="5"/>
    <x v="919"/>
  </r>
  <r>
    <x v="5"/>
    <x v="260"/>
    <x v="1"/>
    <x v="2"/>
    <x v="920"/>
    <x v="18"/>
    <x v="1"/>
    <n v="580.75"/>
    <n v="956.16"/>
    <x v="0"/>
    <x v="17"/>
    <x v="0"/>
    <s v="Retail"/>
    <x v="2"/>
    <x v="920"/>
  </r>
  <r>
    <x v="68"/>
    <x v="197"/>
    <x v="4"/>
    <x v="2"/>
    <x v="921"/>
    <x v="40"/>
    <x v="0"/>
    <n v="2146.2399999999998"/>
    <n v="2173.4699999999998"/>
    <x v="0"/>
    <x v="15"/>
    <x v="0"/>
    <s v="Retail"/>
    <x v="9"/>
    <x v="921"/>
  </r>
  <r>
    <x v="60"/>
    <x v="34"/>
    <x v="2"/>
    <x v="0"/>
    <x v="922"/>
    <x v="8"/>
    <x v="0"/>
    <n v="2289.2199999999998"/>
    <n v="2581"/>
    <x v="1"/>
    <x v="8"/>
    <x v="1"/>
    <s v="Online"/>
    <x v="19"/>
    <x v="922"/>
  </r>
  <r>
    <x v="28"/>
    <x v="241"/>
    <x v="0"/>
    <x v="3"/>
    <x v="923"/>
    <x v="20"/>
    <x v="0"/>
    <n v="3681.53"/>
    <n v="4076.96"/>
    <x v="0"/>
    <x v="22"/>
    <x v="0"/>
    <s v="Retail"/>
    <x v="12"/>
    <x v="923"/>
  </r>
  <r>
    <x v="27"/>
    <x v="322"/>
    <x v="2"/>
    <x v="1"/>
    <x v="924"/>
    <x v="42"/>
    <x v="3"/>
    <n v="4208.09"/>
    <n v="4226.5600000000004"/>
    <x v="0"/>
    <x v="12"/>
    <x v="0"/>
    <s v="Retail"/>
    <x v="5"/>
    <x v="924"/>
  </r>
  <r>
    <x v="4"/>
    <x v="2"/>
    <x v="2"/>
    <x v="2"/>
    <x v="925"/>
    <x v="44"/>
    <x v="1"/>
    <n v="2747.66"/>
    <n v="3027.0099999999902"/>
    <x v="1"/>
    <x v="10"/>
    <x v="0"/>
    <s v="Online"/>
    <x v="10"/>
    <x v="925"/>
  </r>
  <r>
    <x v="13"/>
    <x v="90"/>
    <x v="3"/>
    <x v="1"/>
    <x v="926"/>
    <x v="6"/>
    <x v="0"/>
    <n v="479.58"/>
    <n v="909.88"/>
    <x v="0"/>
    <x v="9"/>
    <x v="2"/>
    <s v="Retail"/>
    <x v="8"/>
    <x v="926"/>
  </r>
  <r>
    <x v="5"/>
    <x v="68"/>
    <x v="2"/>
    <x v="0"/>
    <x v="927"/>
    <x v="12"/>
    <x v="3"/>
    <n v="1222.4000000000001"/>
    <n v="1464.71"/>
    <x v="1"/>
    <x v="11"/>
    <x v="2"/>
    <s v="Retail"/>
    <x v="19"/>
    <x v="927"/>
  </r>
  <r>
    <x v="86"/>
    <x v="336"/>
    <x v="2"/>
    <x v="2"/>
    <x v="928"/>
    <x v="19"/>
    <x v="1"/>
    <n v="866.42"/>
    <n v="878.43"/>
    <x v="1"/>
    <x v="0"/>
    <x v="0"/>
    <s v="Retail"/>
    <x v="10"/>
    <x v="928"/>
  </r>
  <r>
    <x v="66"/>
    <x v="24"/>
    <x v="1"/>
    <x v="0"/>
    <x v="929"/>
    <x v="43"/>
    <x v="0"/>
    <n v="666.84"/>
    <n v="682.24"/>
    <x v="1"/>
    <x v="28"/>
    <x v="1"/>
    <s v="Retail"/>
    <x v="11"/>
    <x v="929"/>
  </r>
  <r>
    <x v="68"/>
    <x v="76"/>
    <x v="0"/>
    <x v="1"/>
    <x v="930"/>
    <x v="28"/>
    <x v="2"/>
    <n v="1861.2"/>
    <n v="2075.35"/>
    <x v="0"/>
    <x v="15"/>
    <x v="2"/>
    <s v="Retail"/>
    <x v="1"/>
    <x v="930"/>
  </r>
  <r>
    <x v="70"/>
    <x v="24"/>
    <x v="1"/>
    <x v="0"/>
    <x v="931"/>
    <x v="28"/>
    <x v="3"/>
    <n v="1185.5"/>
    <n v="1271.45"/>
    <x v="0"/>
    <x v="21"/>
    <x v="1"/>
    <s v="Retail"/>
    <x v="11"/>
    <x v="931"/>
  </r>
  <r>
    <x v="41"/>
    <x v="1"/>
    <x v="1"/>
    <x v="1"/>
    <x v="932"/>
    <x v="22"/>
    <x v="3"/>
    <n v="1130.5999999999999"/>
    <n v="1466.1799999999901"/>
    <x v="0"/>
    <x v="9"/>
    <x v="0"/>
    <s v="Online"/>
    <x v="13"/>
    <x v="932"/>
  </r>
  <r>
    <x v="98"/>
    <x v="175"/>
    <x v="4"/>
    <x v="0"/>
    <x v="933"/>
    <x v="2"/>
    <x v="0"/>
    <n v="320.73"/>
    <n v="678.04"/>
    <x v="0"/>
    <x v="4"/>
    <x v="0"/>
    <s v="Retail"/>
    <x v="15"/>
    <x v="933"/>
  </r>
  <r>
    <x v="54"/>
    <x v="212"/>
    <x v="1"/>
    <x v="1"/>
    <x v="934"/>
    <x v="40"/>
    <x v="0"/>
    <n v="137.47"/>
    <n v="234.63"/>
    <x v="1"/>
    <x v="29"/>
    <x v="1"/>
    <s v="Retail"/>
    <x v="13"/>
    <x v="934"/>
  </r>
  <r>
    <x v="24"/>
    <x v="76"/>
    <x v="3"/>
    <x v="3"/>
    <x v="935"/>
    <x v="1"/>
    <x v="3"/>
    <n v="558.70000000000005"/>
    <n v="1004.08"/>
    <x v="0"/>
    <x v="21"/>
    <x v="2"/>
    <s v="Online"/>
    <x v="14"/>
    <x v="935"/>
  </r>
  <r>
    <x v="47"/>
    <x v="328"/>
    <x v="3"/>
    <x v="0"/>
    <x v="936"/>
    <x v="45"/>
    <x v="2"/>
    <n v="902.38"/>
    <n v="1128.9100000000001"/>
    <x v="1"/>
    <x v="30"/>
    <x v="1"/>
    <s v="Retail"/>
    <x v="7"/>
    <x v="936"/>
  </r>
  <r>
    <x v="41"/>
    <x v="310"/>
    <x v="4"/>
    <x v="0"/>
    <x v="937"/>
    <x v="25"/>
    <x v="2"/>
    <n v="2183.37"/>
    <n v="2263.3599999999901"/>
    <x v="0"/>
    <x v="11"/>
    <x v="1"/>
    <s v="Retail"/>
    <x v="15"/>
    <x v="937"/>
  </r>
  <r>
    <x v="64"/>
    <x v="320"/>
    <x v="0"/>
    <x v="3"/>
    <x v="938"/>
    <x v="7"/>
    <x v="1"/>
    <n v="2577.08"/>
    <n v="2961.56"/>
    <x v="0"/>
    <x v="15"/>
    <x v="0"/>
    <s v="Online"/>
    <x v="12"/>
    <x v="938"/>
  </r>
  <r>
    <x v="75"/>
    <x v="285"/>
    <x v="0"/>
    <x v="3"/>
    <x v="939"/>
    <x v="2"/>
    <x v="0"/>
    <n v="745.93"/>
    <n v="1143.02"/>
    <x v="0"/>
    <x v="2"/>
    <x v="2"/>
    <s v="Online"/>
    <x v="12"/>
    <x v="939"/>
  </r>
  <r>
    <x v="35"/>
    <x v="152"/>
    <x v="1"/>
    <x v="0"/>
    <x v="940"/>
    <x v="6"/>
    <x v="2"/>
    <n v="2152.6799999999998"/>
    <n v="2475.9299999999998"/>
    <x v="0"/>
    <x v="20"/>
    <x v="1"/>
    <s v="Online"/>
    <x v="11"/>
    <x v="940"/>
  </r>
  <r>
    <x v="61"/>
    <x v="158"/>
    <x v="1"/>
    <x v="3"/>
    <x v="941"/>
    <x v="27"/>
    <x v="1"/>
    <n v="1741.66"/>
    <n v="2169.86"/>
    <x v="0"/>
    <x v="6"/>
    <x v="2"/>
    <s v="Online"/>
    <x v="16"/>
    <x v="941"/>
  </r>
  <r>
    <x v="31"/>
    <x v="217"/>
    <x v="1"/>
    <x v="2"/>
    <x v="942"/>
    <x v="13"/>
    <x v="2"/>
    <n v="957.95"/>
    <n v="1329.26"/>
    <x v="1"/>
    <x v="5"/>
    <x v="0"/>
    <s v="Online"/>
    <x v="2"/>
    <x v="942"/>
  </r>
  <r>
    <x v="74"/>
    <x v="242"/>
    <x v="0"/>
    <x v="1"/>
    <x v="943"/>
    <x v="7"/>
    <x v="0"/>
    <n v="83.86"/>
    <n v="526.14"/>
    <x v="0"/>
    <x v="1"/>
    <x v="2"/>
    <s v="Online"/>
    <x v="1"/>
    <x v="943"/>
  </r>
  <r>
    <x v="87"/>
    <x v="107"/>
    <x v="2"/>
    <x v="1"/>
    <x v="944"/>
    <x v="44"/>
    <x v="1"/>
    <n v="2361.7399999999998"/>
    <n v="2584.35"/>
    <x v="0"/>
    <x v="2"/>
    <x v="0"/>
    <s v="Online"/>
    <x v="5"/>
    <x v="944"/>
  </r>
  <r>
    <x v="79"/>
    <x v="267"/>
    <x v="3"/>
    <x v="1"/>
    <x v="945"/>
    <x v="34"/>
    <x v="1"/>
    <n v="3443.98"/>
    <n v="3820.3"/>
    <x v="0"/>
    <x v="30"/>
    <x v="2"/>
    <s v="Retail"/>
    <x v="8"/>
    <x v="945"/>
  </r>
  <r>
    <x v="53"/>
    <x v="202"/>
    <x v="2"/>
    <x v="2"/>
    <x v="946"/>
    <x v="31"/>
    <x v="1"/>
    <n v="1170.07"/>
    <n v="1669.94999999999"/>
    <x v="0"/>
    <x v="7"/>
    <x v="1"/>
    <s v="Retail"/>
    <x v="10"/>
    <x v="946"/>
  </r>
  <r>
    <x v="57"/>
    <x v="267"/>
    <x v="2"/>
    <x v="3"/>
    <x v="947"/>
    <x v="20"/>
    <x v="2"/>
    <n v="702.44"/>
    <n v="1067.6600000000001"/>
    <x v="1"/>
    <x v="19"/>
    <x v="0"/>
    <s v="Retail"/>
    <x v="4"/>
    <x v="947"/>
  </r>
  <r>
    <x v="4"/>
    <x v="170"/>
    <x v="0"/>
    <x v="3"/>
    <x v="948"/>
    <x v="34"/>
    <x v="0"/>
    <n v="4440.8599999999997"/>
    <n v="4506.8099999999904"/>
    <x v="0"/>
    <x v="19"/>
    <x v="1"/>
    <s v="Online"/>
    <x v="12"/>
    <x v="948"/>
  </r>
  <r>
    <x v="48"/>
    <x v="275"/>
    <x v="2"/>
    <x v="0"/>
    <x v="949"/>
    <x v="18"/>
    <x v="1"/>
    <n v="1411.37"/>
    <n v="1675.35"/>
    <x v="1"/>
    <x v="5"/>
    <x v="0"/>
    <s v="Retail"/>
    <x v="19"/>
    <x v="949"/>
  </r>
  <r>
    <x v="61"/>
    <x v="30"/>
    <x v="4"/>
    <x v="3"/>
    <x v="950"/>
    <x v="44"/>
    <x v="3"/>
    <n v="1156.8800000000001"/>
    <n v="1454.68"/>
    <x v="0"/>
    <x v="18"/>
    <x v="2"/>
    <s v="Online"/>
    <x v="18"/>
    <x v="950"/>
  </r>
  <r>
    <x v="49"/>
    <x v="247"/>
    <x v="1"/>
    <x v="0"/>
    <x v="951"/>
    <x v="31"/>
    <x v="0"/>
    <n v="4292.63"/>
    <n v="4387.99"/>
    <x v="1"/>
    <x v="17"/>
    <x v="2"/>
    <s v="Retail"/>
    <x v="11"/>
    <x v="951"/>
  </r>
  <r>
    <x v="66"/>
    <x v="216"/>
    <x v="4"/>
    <x v="2"/>
    <x v="952"/>
    <x v="48"/>
    <x v="3"/>
    <n v="4094.68"/>
    <n v="4576.5"/>
    <x v="1"/>
    <x v="23"/>
    <x v="0"/>
    <s v="Retail"/>
    <x v="9"/>
    <x v="952"/>
  </r>
  <r>
    <x v="45"/>
    <x v="164"/>
    <x v="3"/>
    <x v="1"/>
    <x v="953"/>
    <x v="33"/>
    <x v="3"/>
    <n v="2269.3200000000002"/>
    <n v="2365.35"/>
    <x v="1"/>
    <x v="21"/>
    <x v="0"/>
    <s v="Retail"/>
    <x v="8"/>
    <x v="953"/>
  </r>
  <r>
    <x v="73"/>
    <x v="337"/>
    <x v="1"/>
    <x v="1"/>
    <x v="954"/>
    <x v="1"/>
    <x v="1"/>
    <n v="2471.73"/>
    <n v="2568.73"/>
    <x v="1"/>
    <x v="8"/>
    <x v="0"/>
    <s v="Retail"/>
    <x v="13"/>
    <x v="954"/>
  </r>
  <r>
    <x v="0"/>
    <x v="64"/>
    <x v="2"/>
    <x v="1"/>
    <x v="955"/>
    <x v="0"/>
    <x v="1"/>
    <n v="1127.8599999999999"/>
    <n v="1586.29"/>
    <x v="1"/>
    <x v="14"/>
    <x v="2"/>
    <s v="Online"/>
    <x v="5"/>
    <x v="955"/>
  </r>
  <r>
    <x v="76"/>
    <x v="46"/>
    <x v="3"/>
    <x v="3"/>
    <x v="956"/>
    <x v="37"/>
    <x v="2"/>
    <n v="437.59"/>
    <n v="675.54"/>
    <x v="0"/>
    <x v="15"/>
    <x v="0"/>
    <s v="Online"/>
    <x v="14"/>
    <x v="956"/>
  </r>
  <r>
    <x v="31"/>
    <x v="338"/>
    <x v="1"/>
    <x v="0"/>
    <x v="957"/>
    <x v="36"/>
    <x v="2"/>
    <n v="2888.49"/>
    <n v="2929.45"/>
    <x v="1"/>
    <x v="18"/>
    <x v="0"/>
    <s v="Retail"/>
    <x v="11"/>
    <x v="957"/>
  </r>
  <r>
    <x v="87"/>
    <x v="223"/>
    <x v="2"/>
    <x v="0"/>
    <x v="958"/>
    <x v="15"/>
    <x v="2"/>
    <n v="536.80999999999995"/>
    <n v="839.92"/>
    <x v="0"/>
    <x v="25"/>
    <x v="1"/>
    <s v="Online"/>
    <x v="19"/>
    <x v="958"/>
  </r>
  <r>
    <x v="74"/>
    <x v="117"/>
    <x v="4"/>
    <x v="2"/>
    <x v="959"/>
    <x v="15"/>
    <x v="0"/>
    <n v="2273.91"/>
    <n v="2578.7999999999902"/>
    <x v="1"/>
    <x v="6"/>
    <x v="0"/>
    <s v="Online"/>
    <x v="9"/>
    <x v="959"/>
  </r>
  <r>
    <x v="39"/>
    <x v="276"/>
    <x v="1"/>
    <x v="3"/>
    <x v="960"/>
    <x v="48"/>
    <x v="2"/>
    <n v="4705.46"/>
    <n v="4747.07"/>
    <x v="1"/>
    <x v="29"/>
    <x v="1"/>
    <s v="Retail"/>
    <x v="16"/>
    <x v="960"/>
  </r>
  <r>
    <x v="41"/>
    <x v="108"/>
    <x v="2"/>
    <x v="2"/>
    <x v="961"/>
    <x v="10"/>
    <x v="3"/>
    <n v="4766.53"/>
    <n v="5253.07"/>
    <x v="0"/>
    <x v="30"/>
    <x v="1"/>
    <s v="Online"/>
    <x v="10"/>
    <x v="961"/>
  </r>
  <r>
    <x v="69"/>
    <x v="252"/>
    <x v="4"/>
    <x v="0"/>
    <x v="962"/>
    <x v="34"/>
    <x v="2"/>
    <n v="1234.69"/>
    <n v="1511.26"/>
    <x v="1"/>
    <x v="15"/>
    <x v="1"/>
    <s v="Online"/>
    <x v="15"/>
    <x v="962"/>
  </r>
  <r>
    <x v="7"/>
    <x v="47"/>
    <x v="3"/>
    <x v="0"/>
    <x v="963"/>
    <x v="30"/>
    <x v="1"/>
    <n v="3139.36"/>
    <n v="3423.66"/>
    <x v="1"/>
    <x v="13"/>
    <x v="2"/>
    <s v="Online"/>
    <x v="7"/>
    <x v="963"/>
  </r>
  <r>
    <x v="47"/>
    <x v="218"/>
    <x v="3"/>
    <x v="1"/>
    <x v="964"/>
    <x v="19"/>
    <x v="2"/>
    <n v="2396.6799999999998"/>
    <n v="2661.54"/>
    <x v="1"/>
    <x v="13"/>
    <x v="1"/>
    <s v="Online"/>
    <x v="8"/>
    <x v="964"/>
  </r>
  <r>
    <x v="9"/>
    <x v="187"/>
    <x v="3"/>
    <x v="3"/>
    <x v="965"/>
    <x v="21"/>
    <x v="0"/>
    <n v="4384.6400000000003"/>
    <n v="4693.8999999999996"/>
    <x v="1"/>
    <x v="6"/>
    <x v="0"/>
    <s v="Retail"/>
    <x v="14"/>
    <x v="965"/>
  </r>
  <r>
    <x v="15"/>
    <x v="16"/>
    <x v="3"/>
    <x v="0"/>
    <x v="966"/>
    <x v="16"/>
    <x v="0"/>
    <n v="1393.58"/>
    <n v="1533.09"/>
    <x v="0"/>
    <x v="19"/>
    <x v="2"/>
    <s v="Retail"/>
    <x v="7"/>
    <x v="966"/>
  </r>
  <r>
    <x v="61"/>
    <x v="299"/>
    <x v="0"/>
    <x v="1"/>
    <x v="967"/>
    <x v="24"/>
    <x v="3"/>
    <n v="68.33"/>
    <n v="219.07999999999899"/>
    <x v="1"/>
    <x v="3"/>
    <x v="2"/>
    <s v="Online"/>
    <x v="1"/>
    <x v="967"/>
  </r>
  <r>
    <x v="39"/>
    <x v="317"/>
    <x v="1"/>
    <x v="3"/>
    <x v="968"/>
    <x v="41"/>
    <x v="0"/>
    <n v="854.68"/>
    <n v="1115.24"/>
    <x v="1"/>
    <x v="19"/>
    <x v="2"/>
    <s v="Retail"/>
    <x v="16"/>
    <x v="968"/>
  </r>
  <r>
    <x v="26"/>
    <x v="258"/>
    <x v="1"/>
    <x v="2"/>
    <x v="969"/>
    <x v="1"/>
    <x v="2"/>
    <n v="1780.14"/>
    <n v="2185.42"/>
    <x v="0"/>
    <x v="25"/>
    <x v="2"/>
    <s v="Retail"/>
    <x v="2"/>
    <x v="969"/>
  </r>
  <r>
    <x v="87"/>
    <x v="92"/>
    <x v="0"/>
    <x v="3"/>
    <x v="970"/>
    <x v="41"/>
    <x v="1"/>
    <n v="1612.82"/>
    <n v="1647.25"/>
    <x v="0"/>
    <x v="14"/>
    <x v="2"/>
    <s v="Retail"/>
    <x v="12"/>
    <x v="970"/>
  </r>
  <r>
    <x v="34"/>
    <x v="229"/>
    <x v="2"/>
    <x v="3"/>
    <x v="971"/>
    <x v="8"/>
    <x v="0"/>
    <n v="3967.25"/>
    <n v="4272.92"/>
    <x v="1"/>
    <x v="29"/>
    <x v="2"/>
    <s v="Online"/>
    <x v="4"/>
    <x v="971"/>
  </r>
  <r>
    <x v="12"/>
    <x v="198"/>
    <x v="2"/>
    <x v="0"/>
    <x v="972"/>
    <x v="42"/>
    <x v="3"/>
    <n v="3418.78"/>
    <n v="3824.1"/>
    <x v="1"/>
    <x v="27"/>
    <x v="2"/>
    <s v="Online"/>
    <x v="19"/>
    <x v="972"/>
  </r>
  <r>
    <x v="71"/>
    <x v="166"/>
    <x v="3"/>
    <x v="0"/>
    <x v="973"/>
    <x v="41"/>
    <x v="2"/>
    <n v="1532.8"/>
    <n v="1619.69"/>
    <x v="0"/>
    <x v="8"/>
    <x v="1"/>
    <s v="Retail"/>
    <x v="7"/>
    <x v="973"/>
  </r>
  <r>
    <x v="37"/>
    <x v="30"/>
    <x v="4"/>
    <x v="3"/>
    <x v="974"/>
    <x v="21"/>
    <x v="3"/>
    <n v="2315.83"/>
    <n v="2333.19"/>
    <x v="1"/>
    <x v="30"/>
    <x v="0"/>
    <s v="Retail"/>
    <x v="18"/>
    <x v="974"/>
  </r>
  <r>
    <x v="17"/>
    <x v="86"/>
    <x v="2"/>
    <x v="0"/>
    <x v="975"/>
    <x v="48"/>
    <x v="0"/>
    <n v="523.02"/>
    <n v="686.25"/>
    <x v="0"/>
    <x v="14"/>
    <x v="0"/>
    <s v="Online"/>
    <x v="19"/>
    <x v="975"/>
  </r>
  <r>
    <x v="73"/>
    <x v="329"/>
    <x v="4"/>
    <x v="0"/>
    <x v="976"/>
    <x v="2"/>
    <x v="0"/>
    <n v="4495.82"/>
    <n v="4794.0099999999902"/>
    <x v="1"/>
    <x v="13"/>
    <x v="1"/>
    <s v="Retail"/>
    <x v="15"/>
    <x v="976"/>
  </r>
  <r>
    <x v="2"/>
    <x v="339"/>
    <x v="1"/>
    <x v="0"/>
    <x v="977"/>
    <x v="14"/>
    <x v="3"/>
    <n v="4680.3500000000004"/>
    <n v="4758.1099999999997"/>
    <x v="0"/>
    <x v="8"/>
    <x v="1"/>
    <s v="Online"/>
    <x v="11"/>
    <x v="977"/>
  </r>
  <r>
    <x v="18"/>
    <x v="111"/>
    <x v="4"/>
    <x v="1"/>
    <x v="978"/>
    <x v="22"/>
    <x v="2"/>
    <n v="4900.03"/>
    <n v="5118.83"/>
    <x v="0"/>
    <x v="17"/>
    <x v="2"/>
    <s v="Retail"/>
    <x v="17"/>
    <x v="978"/>
  </r>
  <r>
    <x v="23"/>
    <x v="136"/>
    <x v="1"/>
    <x v="1"/>
    <x v="979"/>
    <x v="29"/>
    <x v="0"/>
    <n v="4349.34"/>
    <n v="4629.9799999999996"/>
    <x v="0"/>
    <x v="30"/>
    <x v="2"/>
    <s v="Online"/>
    <x v="13"/>
    <x v="979"/>
  </r>
  <r>
    <x v="69"/>
    <x v="82"/>
    <x v="0"/>
    <x v="3"/>
    <x v="153"/>
    <x v="38"/>
    <x v="1"/>
    <n v="911.11"/>
    <n v="1214.56"/>
    <x v="1"/>
    <x v="20"/>
    <x v="1"/>
    <s v="Online"/>
    <x v="12"/>
    <x v="980"/>
  </r>
  <r>
    <x v="55"/>
    <x v="22"/>
    <x v="0"/>
    <x v="0"/>
    <x v="980"/>
    <x v="12"/>
    <x v="0"/>
    <n v="278.67"/>
    <n v="423.13"/>
    <x v="1"/>
    <x v="19"/>
    <x v="2"/>
    <s v="Online"/>
    <x v="0"/>
    <x v="981"/>
  </r>
  <r>
    <x v="36"/>
    <x v="97"/>
    <x v="3"/>
    <x v="1"/>
    <x v="981"/>
    <x v="43"/>
    <x v="2"/>
    <n v="2919"/>
    <n v="3125.01"/>
    <x v="1"/>
    <x v="19"/>
    <x v="0"/>
    <s v="Online"/>
    <x v="8"/>
    <x v="982"/>
  </r>
  <r>
    <x v="84"/>
    <x v="130"/>
    <x v="2"/>
    <x v="3"/>
    <x v="982"/>
    <x v="8"/>
    <x v="0"/>
    <n v="4567.3900000000003"/>
    <n v="4958.78"/>
    <x v="1"/>
    <x v="14"/>
    <x v="0"/>
    <s v="Retail"/>
    <x v="4"/>
    <x v="983"/>
  </r>
  <r>
    <x v="90"/>
    <x v="332"/>
    <x v="3"/>
    <x v="0"/>
    <x v="983"/>
    <x v="30"/>
    <x v="3"/>
    <n v="927.89"/>
    <n v="1399.09"/>
    <x v="0"/>
    <x v="29"/>
    <x v="2"/>
    <s v="Online"/>
    <x v="7"/>
    <x v="984"/>
  </r>
  <r>
    <x v="74"/>
    <x v="62"/>
    <x v="1"/>
    <x v="2"/>
    <x v="984"/>
    <x v="5"/>
    <x v="0"/>
    <n v="84.86"/>
    <n v="517.17999999999995"/>
    <x v="0"/>
    <x v="2"/>
    <x v="2"/>
    <s v="Retail"/>
    <x v="2"/>
    <x v="985"/>
  </r>
  <r>
    <x v="41"/>
    <x v="21"/>
    <x v="3"/>
    <x v="0"/>
    <x v="985"/>
    <x v="28"/>
    <x v="0"/>
    <n v="4037.21"/>
    <n v="4323.71"/>
    <x v="0"/>
    <x v="29"/>
    <x v="2"/>
    <s v="Online"/>
    <x v="7"/>
    <x v="986"/>
  </r>
  <r>
    <x v="44"/>
    <x v="36"/>
    <x v="4"/>
    <x v="0"/>
    <x v="986"/>
    <x v="0"/>
    <x v="2"/>
    <n v="430.14"/>
    <n v="641.17999999999995"/>
    <x v="1"/>
    <x v="9"/>
    <x v="0"/>
    <s v="Online"/>
    <x v="15"/>
    <x v="987"/>
  </r>
  <r>
    <x v="97"/>
    <x v="174"/>
    <x v="1"/>
    <x v="1"/>
    <x v="987"/>
    <x v="40"/>
    <x v="3"/>
    <n v="2097.84"/>
    <n v="2270.9899999999998"/>
    <x v="1"/>
    <x v="9"/>
    <x v="2"/>
    <s v="Retail"/>
    <x v="13"/>
    <x v="988"/>
  </r>
  <r>
    <x v="90"/>
    <x v="54"/>
    <x v="0"/>
    <x v="3"/>
    <x v="988"/>
    <x v="6"/>
    <x v="2"/>
    <n v="3410.49"/>
    <n v="3481.72"/>
    <x v="1"/>
    <x v="19"/>
    <x v="1"/>
    <s v="Retail"/>
    <x v="12"/>
    <x v="989"/>
  </r>
  <r>
    <x v="81"/>
    <x v="26"/>
    <x v="2"/>
    <x v="3"/>
    <x v="989"/>
    <x v="25"/>
    <x v="0"/>
    <n v="1222.1500000000001"/>
    <n v="1284.3599999999999"/>
    <x v="0"/>
    <x v="21"/>
    <x v="2"/>
    <s v="Retail"/>
    <x v="4"/>
    <x v="990"/>
  </r>
  <r>
    <x v="42"/>
    <x v="331"/>
    <x v="1"/>
    <x v="1"/>
    <x v="990"/>
    <x v="22"/>
    <x v="1"/>
    <n v="465.61"/>
    <n v="812.91"/>
    <x v="1"/>
    <x v="28"/>
    <x v="1"/>
    <s v="Online"/>
    <x v="13"/>
    <x v="991"/>
  </r>
  <r>
    <x v="97"/>
    <x v="177"/>
    <x v="1"/>
    <x v="0"/>
    <x v="991"/>
    <x v="20"/>
    <x v="0"/>
    <n v="3861.61"/>
    <n v="3998.91"/>
    <x v="1"/>
    <x v="26"/>
    <x v="2"/>
    <s v="Online"/>
    <x v="11"/>
    <x v="992"/>
  </r>
  <r>
    <x v="89"/>
    <x v="209"/>
    <x v="4"/>
    <x v="2"/>
    <x v="992"/>
    <x v="17"/>
    <x v="2"/>
    <n v="3169.37"/>
    <n v="3304.15"/>
    <x v="0"/>
    <x v="26"/>
    <x v="2"/>
    <s v="Retail"/>
    <x v="9"/>
    <x v="993"/>
  </r>
  <r>
    <x v="99"/>
    <x v="297"/>
    <x v="2"/>
    <x v="0"/>
    <x v="993"/>
    <x v="41"/>
    <x v="1"/>
    <n v="4943.03"/>
    <n v="5442.15"/>
    <x v="0"/>
    <x v="12"/>
    <x v="0"/>
    <s v="Online"/>
    <x v="19"/>
    <x v="994"/>
  </r>
  <r>
    <x v="95"/>
    <x v="259"/>
    <x v="0"/>
    <x v="0"/>
    <x v="994"/>
    <x v="35"/>
    <x v="2"/>
    <n v="1754.32"/>
    <n v="1856.3999999999901"/>
    <x v="1"/>
    <x v="5"/>
    <x v="1"/>
    <s v="Retail"/>
    <x v="0"/>
    <x v="995"/>
  </r>
  <r>
    <x v="37"/>
    <x v="167"/>
    <x v="1"/>
    <x v="2"/>
    <x v="995"/>
    <x v="1"/>
    <x v="2"/>
    <n v="355.72"/>
    <n v="438.27"/>
    <x v="0"/>
    <x v="18"/>
    <x v="1"/>
    <s v="Online"/>
    <x v="2"/>
    <x v="996"/>
  </r>
  <r>
    <x v="10"/>
    <x v="266"/>
    <x v="1"/>
    <x v="1"/>
    <x v="996"/>
    <x v="3"/>
    <x v="3"/>
    <n v="3685.03"/>
    <n v="3743.39"/>
    <x v="1"/>
    <x v="30"/>
    <x v="1"/>
    <s v="Online"/>
    <x v="13"/>
    <x v="997"/>
  </r>
  <r>
    <x v="74"/>
    <x v="132"/>
    <x v="4"/>
    <x v="3"/>
    <x v="997"/>
    <x v="10"/>
    <x v="1"/>
    <n v="2632.58"/>
    <n v="2926.68"/>
    <x v="0"/>
    <x v="6"/>
    <x v="0"/>
    <s v="Online"/>
    <x v="18"/>
    <x v="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9CEAC7-EC4F-4FD4-8F6D-BDBC2E8478A6}" name="Jawaban 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
  <location ref="A2:C6" firstHeaderRow="0"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items count="6">
        <item x="4"/>
        <item x="0"/>
        <item x="2"/>
        <item x="1"/>
        <item x="3"/>
        <item t="default"/>
      </items>
    </pivotField>
    <pivotField showAll="0">
      <items count="5">
        <item x="3"/>
        <item x="0"/>
        <item x="2"/>
        <item x="1"/>
        <item t="default"/>
      </items>
    </pivotField>
    <pivotField numFmtId="164" showAll="0"/>
    <pivotField showAll="0"/>
    <pivotField axis="axisRow" showAll="0">
      <items count="5">
        <item x="2"/>
        <item x="3"/>
        <item x="1"/>
        <item x="0"/>
        <item t="default"/>
      </items>
    </pivotField>
    <pivotField numFmtId="164" showAll="0"/>
    <pivotField numFmtId="164" showAll="0"/>
    <pivotField showAll="0">
      <items count="3">
        <item x="1"/>
        <item x="0"/>
        <item t="default"/>
      </items>
    </pivotField>
    <pivotField dataField="1" numFmtId="9" showAll="0">
      <items count="32">
        <item x="11"/>
        <item x="30"/>
        <item x="3"/>
        <item x="21"/>
        <item x="14"/>
        <item x="8"/>
        <item x="18"/>
        <item x="17"/>
        <item x="4"/>
        <item x="0"/>
        <item x="15"/>
        <item x="1"/>
        <item x="7"/>
        <item x="9"/>
        <item x="6"/>
        <item x="25"/>
        <item x="28"/>
        <item x="22"/>
        <item x="13"/>
        <item x="27"/>
        <item x="2"/>
        <item x="5"/>
        <item x="20"/>
        <item x="10"/>
        <item x="19"/>
        <item x="26"/>
        <item x="16"/>
        <item x="29"/>
        <item x="24"/>
        <item x="12"/>
        <item x="23"/>
        <item t="default"/>
      </items>
    </pivotField>
    <pivotField showAll="0"/>
    <pivotField showAll="0"/>
    <pivotField showAll="0"/>
    <pivotField dataField="1" numFmtId="164" showAll="0">
      <items count="1000">
        <item x="974"/>
        <item x="29"/>
        <item x="162"/>
        <item x="88"/>
        <item x="75"/>
        <item x="391"/>
        <item x="463"/>
        <item x="345"/>
        <item x="138"/>
        <item x="46"/>
        <item x="105"/>
        <item x="609"/>
        <item x="649"/>
        <item x="794"/>
        <item x="410"/>
        <item x="970"/>
        <item x="566"/>
        <item x="817"/>
        <item x="695"/>
        <item x="631"/>
        <item x="549"/>
        <item x="321"/>
        <item x="691"/>
        <item x="238"/>
        <item x="815"/>
        <item x="354"/>
        <item x="429"/>
        <item x="243"/>
        <item x="393"/>
        <item x="642"/>
        <item x="690"/>
        <item x="158"/>
        <item x="798"/>
        <item x="453"/>
        <item x="360"/>
        <item x="220"/>
        <item x="960"/>
        <item x="646"/>
        <item x="85"/>
        <item x="965"/>
        <item x="483"/>
        <item x="383"/>
        <item x="54"/>
        <item x="701"/>
        <item x="764"/>
        <item x="41"/>
        <item x="216"/>
        <item x="398"/>
        <item x="876"/>
        <item x="973"/>
        <item x="710"/>
        <item x="499"/>
        <item x="880"/>
        <item x="623"/>
        <item x="20"/>
        <item x="114"/>
        <item x="380"/>
        <item x="928"/>
        <item x="326"/>
        <item x="12"/>
        <item x="887"/>
        <item x="363"/>
        <item x="792"/>
        <item x="863"/>
        <item x="244"/>
        <item x="504"/>
        <item x="373"/>
        <item x="597"/>
        <item x="899"/>
        <item x="595"/>
        <item x="226"/>
        <item x="924"/>
        <item x="71"/>
        <item x="838"/>
        <item x="755"/>
        <item x="387"/>
        <item x="227"/>
        <item x="516"/>
        <item x="752"/>
        <item x="832"/>
        <item x="130"/>
        <item x="215"/>
        <item x="166"/>
        <item x="485"/>
        <item x="648"/>
        <item x="929"/>
        <item x="212"/>
        <item x="126"/>
        <item x="598"/>
        <item x="141"/>
        <item x="112"/>
        <item x="898"/>
        <item x="788"/>
        <item x="913"/>
        <item x="810"/>
        <item x="395"/>
        <item x="698"/>
        <item x="107"/>
        <item x="257"/>
        <item x="288"/>
        <item x="612"/>
        <item x="332"/>
        <item x="521"/>
        <item x="819"/>
        <item x="854"/>
        <item x="537"/>
        <item x="827"/>
        <item x="164"/>
        <item x="936"/>
        <item x="77"/>
        <item x="627"/>
        <item x="445"/>
        <item x="740"/>
        <item x="239"/>
        <item x="977"/>
        <item x="4"/>
        <item x="185"/>
        <item x="677"/>
        <item x="416"/>
        <item x="628"/>
        <item x="785"/>
        <item x="343"/>
        <item x="921"/>
        <item x="319"/>
        <item x="734"/>
        <item x="129"/>
        <item x="650"/>
        <item x="912"/>
        <item x="497"/>
        <item x="183"/>
        <item x="199"/>
        <item x="688"/>
        <item x="280"/>
        <item x="152"/>
        <item x="814"/>
        <item x="909"/>
        <item x="735"/>
        <item x="208"/>
        <item x="870"/>
        <item x="311"/>
        <item x="431"/>
        <item x="604"/>
        <item x="990"/>
        <item x="640"/>
        <item x="10"/>
        <item x="336"/>
        <item x="968"/>
        <item x="79"/>
        <item x="400"/>
        <item x="132"/>
        <item x="389"/>
        <item x="422"/>
        <item x="708"/>
        <item x="610"/>
        <item x="653"/>
        <item x="975"/>
        <item x="201"/>
        <item x="316"/>
        <item x="50"/>
        <item x="807"/>
        <item x="43"/>
        <item x="417"/>
        <item x="574"/>
        <item x="294"/>
        <item x="890"/>
        <item x="786"/>
        <item x="307"/>
        <item x="823"/>
        <item x="931"/>
        <item x="232"/>
        <item x="404"/>
        <item x="895"/>
        <item x="286"/>
        <item x="578"/>
        <item x="163"/>
        <item x="224"/>
        <item x="683"/>
        <item x="937"/>
        <item x="182"/>
        <item x="503"/>
        <item x="641"/>
        <item x="910"/>
        <item x="298"/>
        <item x="824"/>
        <item x="443"/>
        <item x="845"/>
        <item x="486"/>
        <item x="412"/>
        <item x="538"/>
        <item x="774"/>
        <item x="520"/>
        <item x="770"/>
        <item x="829"/>
        <item x="996"/>
        <item x="739"/>
        <item x="915"/>
        <item x="533"/>
        <item x="348"/>
        <item x="365"/>
        <item x="377"/>
        <item x="556"/>
        <item x="841"/>
        <item x="206"/>
        <item x="611"/>
        <item x="803"/>
        <item x="808"/>
        <item x="301"/>
        <item x="277"/>
        <item x="568"/>
        <item x="11"/>
        <item x="881"/>
        <item x="67"/>
        <item x="576"/>
        <item x="153"/>
        <item x="532"/>
        <item x="142"/>
        <item x="527"/>
        <item x="446"/>
        <item x="186"/>
        <item x="954"/>
        <item x="560"/>
        <item x="461"/>
        <item x="426"/>
        <item x="346"/>
        <item x="957"/>
        <item x="418"/>
        <item x="682"/>
        <item x="273"/>
        <item x="337"/>
        <item x="480"/>
        <item x="219"/>
        <item x="115"/>
        <item x="892"/>
        <item x="94"/>
        <item x="172"/>
        <item x="423"/>
        <item x="157"/>
        <item x="344"/>
        <item x="855"/>
        <item x="725"/>
        <item x="63"/>
        <item x="399"/>
        <item x="190"/>
        <item x="583"/>
        <item x="425"/>
        <item x="797"/>
        <item x="272"/>
        <item x="680"/>
        <item x="836"/>
        <item x="474"/>
        <item x="501"/>
        <item x="718"/>
        <item x="897"/>
        <item x="620"/>
        <item x="622"/>
        <item x="906"/>
        <item x="32"/>
        <item x="754"/>
        <item x="37"/>
        <item x="584"/>
        <item x="119"/>
        <item x="748"/>
        <item x="994"/>
        <item x="194"/>
        <item x="128"/>
        <item x="711"/>
        <item x="433"/>
        <item x="371"/>
        <item x="279"/>
        <item x="562"/>
        <item x="246"/>
        <item x="0"/>
        <item x="407"/>
        <item x="989"/>
        <item x="542"/>
        <item x="84"/>
        <item x="569"/>
        <item x="753"/>
        <item x="449"/>
        <item x="577"/>
        <item x="953"/>
        <item x="853"/>
        <item x="81"/>
        <item x="145"/>
        <item x="442"/>
        <item x="45"/>
        <item x="92"/>
        <item x="385"/>
        <item x="247"/>
        <item x="291"/>
        <item x="388"/>
        <item x="665"/>
        <item x="372"/>
        <item x="979"/>
        <item x="62"/>
        <item x="747"/>
        <item x="997"/>
        <item x="907"/>
        <item x="502"/>
        <item x="515"/>
        <item x="535"/>
        <item x="140"/>
        <item x="169"/>
        <item x="484"/>
        <item x="668"/>
        <item x="401"/>
        <item x="731"/>
        <item x="911"/>
        <item x="481"/>
        <item x="237"/>
        <item x="26"/>
        <item x="13"/>
        <item x="517"/>
        <item x="513"/>
        <item x="167"/>
        <item x="591"/>
        <item x="306"/>
        <item x="196"/>
        <item x="496"/>
        <item x="203"/>
        <item x="948"/>
        <item x="901"/>
        <item x="419"/>
        <item x="684"/>
        <item x="428"/>
        <item x="312"/>
        <item x="619"/>
        <item x="204"/>
        <item x="42"/>
        <item x="750"/>
        <item x="374"/>
        <item x="27"/>
        <item x="585"/>
        <item x="139"/>
        <item x="546"/>
        <item x="608"/>
        <item x="835"/>
        <item x="934"/>
        <item x="421"/>
        <item x="981"/>
        <item x="320"/>
        <item x="384"/>
        <item x="302"/>
        <item x="39"/>
        <item x="254"/>
        <item x="292"/>
        <item x="269"/>
        <item x="564"/>
        <item x="299"/>
        <item x="490"/>
        <item x="414"/>
        <item x="782"/>
        <item x="822"/>
        <item x="267"/>
        <item x="580"/>
        <item x="350"/>
        <item x="482"/>
        <item x="225"/>
        <item x="729"/>
        <item x="930"/>
        <item x="355"/>
        <item x="290"/>
        <item x="505"/>
        <item x="958"/>
        <item x="18"/>
        <item x="959"/>
        <item x="342"/>
        <item x="686"/>
        <item x="209"/>
        <item x="21"/>
        <item x="613"/>
        <item x="905"/>
        <item x="886"/>
        <item x="242"/>
        <item x="249"/>
        <item x="872"/>
        <item x="451"/>
        <item x="281"/>
        <item x="255"/>
        <item x="769"/>
        <item x="548"/>
        <item x="716"/>
        <item x="351"/>
        <item x="2"/>
        <item x="775"/>
        <item x="213"/>
        <item x="310"/>
        <item x="952"/>
        <item x="522"/>
        <item x="656"/>
        <item x="491"/>
        <item x="356"/>
        <item x="783"/>
        <item x="550"/>
        <item x="284"/>
        <item x="248"/>
        <item x="35"/>
        <item x="19"/>
        <item x="415"/>
        <item x="455"/>
        <item x="160"/>
        <item x="265"/>
        <item x="571"/>
        <item x="995"/>
        <item x="174"/>
        <item x="156"/>
        <item x="987"/>
        <item x="678"/>
        <item x="102"/>
        <item x="715"/>
        <item x="865"/>
        <item x="868"/>
        <item x="655"/>
        <item x="749"/>
        <item x="638"/>
        <item x="745"/>
        <item x="68"/>
        <item x="893"/>
        <item x="951"/>
        <item x="986"/>
        <item x="295"/>
        <item x="96"/>
        <item x="250"/>
        <item x="728"/>
        <item x="218"/>
        <item x="470"/>
        <item x="327"/>
        <item x="993"/>
        <item x="529"/>
        <item x="93"/>
        <item x="703"/>
        <item x="205"/>
        <item x="136"/>
        <item x="495"/>
        <item x="603"/>
        <item x="487"/>
        <item x="444"/>
        <item x="60"/>
        <item x="592"/>
        <item x="175"/>
        <item x="229"/>
        <item x="706"/>
        <item x="386"/>
        <item x="557"/>
        <item x="271"/>
        <item x="617"/>
        <item x="510"/>
        <item x="862"/>
        <item x="762"/>
        <item x="818"/>
        <item x="514"/>
        <item x="318"/>
        <item x="596"/>
        <item x="927"/>
        <item x="850"/>
        <item x="460"/>
        <item x="726"/>
        <item x="833"/>
        <item x="58"/>
        <item x="123"/>
        <item x="113"/>
        <item x="844"/>
        <item x="756"/>
        <item x="325"/>
        <item x="766"/>
        <item x="258"/>
        <item x="616"/>
        <item x="297"/>
        <item x="858"/>
        <item x="988"/>
        <item x="606"/>
        <item x="777"/>
        <item x="82"/>
        <item x="743"/>
        <item x="282"/>
        <item x="896"/>
        <item x="331"/>
        <item x="800"/>
        <item x="600"/>
        <item x="848"/>
        <item x="553"/>
        <item x="458"/>
        <item x="634"/>
        <item x="651"/>
        <item x="816"/>
        <item x="967"/>
        <item x="540"/>
        <item x="179"/>
        <item x="723"/>
        <item x="334"/>
        <item x="147"/>
        <item x="17"/>
        <item x="467"/>
        <item x="464"/>
        <item x="861"/>
        <item x="329"/>
        <item x="438"/>
        <item x="530"/>
        <item x="759"/>
        <item x="877"/>
        <item x="746"/>
        <item x="65"/>
        <item x="635"/>
        <item x="672"/>
        <item x="397"/>
        <item x="714"/>
        <item x="405"/>
        <item x="127"/>
        <item x="534"/>
        <item x="512"/>
        <item x="602"/>
        <item x="787"/>
        <item x="3"/>
        <item x="382"/>
        <item x="435"/>
        <item x="812"/>
        <item x="468"/>
        <item x="791"/>
        <item x="456"/>
        <item x="278"/>
        <item x="38"/>
        <item x="270"/>
        <item x="305"/>
        <item x="434"/>
        <item x="222"/>
        <item x="53"/>
        <item x="741"/>
        <item x="944"/>
        <item x="942"/>
        <item x="900"/>
        <item x="111"/>
        <item x="629"/>
        <item x="59"/>
        <item x="436"/>
        <item x="852"/>
        <item x="143"/>
        <item x="234"/>
        <item x="439"/>
        <item x="704"/>
        <item x="694"/>
        <item x="275"/>
        <item x="867"/>
        <item x="705"/>
        <item x="296"/>
        <item x="23"/>
        <item x="122"/>
        <item x="839"/>
        <item x="459"/>
        <item x="681"/>
        <item x="283"/>
        <item x="871"/>
        <item x="531"/>
        <item x="379"/>
        <item x="124"/>
        <item x="427"/>
        <item x="724"/>
        <item x="450"/>
        <item x="843"/>
        <item x="630"/>
        <item x="639"/>
        <item x="498"/>
        <item x="303"/>
        <item x="240"/>
        <item x="949"/>
        <item x="260"/>
        <item x="801"/>
        <item x="137"/>
        <item x="511"/>
        <item x="730"/>
        <item x="966"/>
        <item x="751"/>
        <item x="660"/>
        <item x="367"/>
        <item x="847"/>
        <item x="261"/>
        <item x="44"/>
        <item x="473"/>
        <item x="6"/>
        <item x="339"/>
        <item x="369"/>
        <item x="207"/>
        <item x="700"/>
        <item x="908"/>
        <item x="441"/>
        <item x="544"/>
        <item x="633"/>
        <item x="381"/>
        <item x="992"/>
        <item x="904"/>
        <item x="289"/>
        <item x="181"/>
        <item x="869"/>
        <item x="104"/>
        <item x="587"/>
        <item x="5"/>
        <item x="330"/>
        <item x="89"/>
        <item x="178"/>
        <item x="757"/>
        <item x="106"/>
        <item x="1"/>
        <item x="916"/>
        <item x="16"/>
        <item x="590"/>
        <item x="197"/>
        <item x="697"/>
        <item x="413"/>
        <item x="233"/>
        <item x="125"/>
        <item x="452"/>
        <item x="664"/>
        <item x="33"/>
        <item x="969"/>
        <item x="519"/>
        <item x="14"/>
        <item x="925"/>
        <item x="687"/>
        <item x="891"/>
        <item x="309"/>
        <item x="72"/>
        <item x="133"/>
        <item x="116"/>
        <item x="570"/>
        <item x="193"/>
        <item x="493"/>
        <item x="675"/>
        <item x="34"/>
        <item x="489"/>
        <item x="177"/>
        <item x="894"/>
        <item x="980"/>
        <item x="541"/>
        <item x="28"/>
        <item x="192"/>
        <item x="982"/>
        <item x="465"/>
        <item x="950"/>
        <item x="679"/>
        <item x="276"/>
        <item x="378"/>
        <item x="120"/>
        <item x="618"/>
        <item x="935"/>
        <item x="376"/>
        <item x="884"/>
        <item x="25"/>
        <item x="713"/>
        <item x="978"/>
        <item x="963"/>
        <item x="144"/>
        <item x="409"/>
        <item x="462"/>
        <item x="202"/>
        <item x="121"/>
        <item x="821"/>
        <item x="712"/>
        <item x="524"/>
        <item x="263"/>
        <item x="259"/>
        <item x="802"/>
        <item x="80"/>
        <item x="738"/>
        <item x="74"/>
        <item x="883"/>
        <item x="70"/>
        <item x="573"/>
        <item x="809"/>
        <item x="873"/>
        <item x="368"/>
        <item x="563"/>
        <item x="667"/>
        <item x="558"/>
        <item x="466"/>
        <item x="717"/>
        <item x="9"/>
        <item x="101"/>
        <item x="692"/>
        <item x="565"/>
        <item x="552"/>
        <item x="955"/>
        <item x="567"/>
        <item x="256"/>
        <item x="293"/>
        <item x="696"/>
        <item x="605"/>
        <item x="526"/>
        <item x="621"/>
        <item x="188"/>
        <item x="732"/>
        <item x="644"/>
        <item x="760"/>
        <item x="889"/>
        <item x="150"/>
        <item x="241"/>
        <item x="100"/>
        <item x="370"/>
        <item x="83"/>
        <item x="148"/>
        <item x="860"/>
        <item x="825"/>
        <item x="920"/>
        <item x="767"/>
        <item x="719"/>
        <item x="61"/>
        <item x="24"/>
        <item x="406"/>
        <item x="964"/>
        <item x="364"/>
        <item x="789"/>
        <item x="131"/>
        <item x="317"/>
        <item x="403"/>
        <item x="593"/>
        <item x="69"/>
        <item x="976"/>
        <item x="176"/>
        <item x="155"/>
        <item x="654"/>
        <item x="57"/>
        <item x="457"/>
        <item x="411"/>
        <item x="864"/>
        <item x="859"/>
        <item x="420"/>
        <item x="228"/>
        <item x="940"/>
        <item x="624"/>
        <item x="274"/>
        <item x="90"/>
        <item x="676"/>
        <item x="806"/>
        <item x="799"/>
        <item x="198"/>
        <item x="851"/>
        <item x="366"/>
        <item x="856"/>
        <item x="599"/>
        <item x="790"/>
        <item x="300"/>
        <item x="707"/>
        <item x="191"/>
        <item x="118"/>
        <item x="159"/>
        <item x="358"/>
        <item x="846"/>
        <item x="335"/>
        <item x="669"/>
        <item x="572"/>
        <item x="154"/>
        <item x="134"/>
        <item x="390"/>
        <item x="722"/>
        <item x="352"/>
        <item x="674"/>
        <item x="236"/>
        <item x="849"/>
        <item x="488"/>
        <item x="614"/>
        <item x="588"/>
        <item x="661"/>
        <item x="97"/>
        <item x="168"/>
        <item x="315"/>
        <item x="918"/>
        <item x="251"/>
        <item x="781"/>
        <item x="180"/>
        <item x="308"/>
        <item x="252"/>
        <item x="165"/>
        <item x="795"/>
        <item x="962"/>
        <item x="779"/>
        <item x="972"/>
        <item x="626"/>
        <item x="171"/>
        <item x="933"/>
        <item x="8"/>
        <item x="693"/>
        <item x="670"/>
        <item x="645"/>
        <item x="539"/>
        <item x="231"/>
        <item x="506"/>
        <item x="189"/>
        <item x="324"/>
        <item x="76"/>
        <item x="625"/>
        <item x="768"/>
        <item x="448"/>
        <item x="874"/>
        <item x="796"/>
        <item x="551"/>
        <item x="820"/>
        <item x="671"/>
        <item x="842"/>
        <item x="437"/>
        <item x="582"/>
        <item x="55"/>
        <item x="547"/>
        <item x="500"/>
        <item x="108"/>
        <item x="736"/>
        <item x="36"/>
        <item x="652"/>
        <item x="447"/>
        <item x="509"/>
        <item x="956"/>
        <item x="932"/>
        <item x="875"/>
        <item x="811"/>
        <item x="235"/>
        <item x="939"/>
        <item x="507"/>
        <item x="347"/>
        <item x="341"/>
        <item x="210"/>
        <item x="430"/>
        <item x="7"/>
        <item x="314"/>
        <item x="523"/>
        <item x="991"/>
        <item x="338"/>
        <item x="721"/>
        <item x="917"/>
        <item x="702"/>
        <item x="826"/>
        <item x="245"/>
        <item x="882"/>
        <item x="304"/>
        <item x="479"/>
        <item x="328"/>
        <item x="926"/>
        <item x="472"/>
        <item x="285"/>
        <item x="922"/>
        <item x="333"/>
        <item x="830"/>
        <item x="784"/>
        <item x="161"/>
        <item x="984"/>
        <item x="266"/>
        <item x="589"/>
        <item x="773"/>
        <item x="361"/>
        <item x="673"/>
        <item x="508"/>
        <item x="477"/>
        <item x="776"/>
        <item x="971"/>
        <item x="744"/>
        <item x="758"/>
        <item x="837"/>
        <item x="375"/>
        <item x="95"/>
        <item x="187"/>
        <item x="362"/>
        <item x="840"/>
        <item x="685"/>
        <item x="195"/>
        <item x="170"/>
        <item x="475"/>
        <item x="47"/>
        <item x="211"/>
        <item x="494"/>
        <item x="268"/>
        <item x="594"/>
        <item x="857"/>
        <item x="340"/>
        <item x="575"/>
        <item x="632"/>
        <item x="727"/>
        <item x="78"/>
        <item x="985"/>
        <item x="771"/>
        <item x="689"/>
        <item x="323"/>
        <item x="834"/>
        <item x="658"/>
        <item x="763"/>
        <item x="780"/>
        <item x="117"/>
        <item x="51"/>
        <item x="998"/>
        <item x="888"/>
        <item x="30"/>
        <item x="737"/>
        <item x="699"/>
        <item x="40"/>
        <item x="945"/>
        <item x="828"/>
        <item x="52"/>
        <item x="885"/>
        <item x="349"/>
        <item x="659"/>
        <item x="579"/>
        <item x="313"/>
        <item x="471"/>
        <item x="264"/>
        <item x="322"/>
        <item x="357"/>
        <item x="99"/>
        <item x="73"/>
        <item x="903"/>
        <item x="662"/>
        <item x="765"/>
        <item x="878"/>
        <item x="561"/>
        <item x="647"/>
        <item x="223"/>
        <item x="31"/>
        <item x="56"/>
        <item x="637"/>
        <item x="91"/>
        <item x="601"/>
        <item x="778"/>
        <item x="813"/>
        <item x="110"/>
        <item x="353"/>
        <item x="392"/>
        <item x="173"/>
        <item x="408"/>
        <item x="543"/>
        <item x="287"/>
        <item x="402"/>
        <item x="545"/>
        <item x="525"/>
        <item x="804"/>
        <item x="761"/>
        <item x="518"/>
        <item x="454"/>
        <item x="135"/>
        <item x="772"/>
        <item x="607"/>
        <item x="536"/>
        <item x="879"/>
        <item x="914"/>
        <item x="217"/>
        <item x="469"/>
        <item x="733"/>
        <item x="492"/>
        <item x="86"/>
        <item x="555"/>
        <item x="64"/>
        <item x="87"/>
        <item x="983"/>
        <item x="98"/>
        <item x="109"/>
        <item x="947"/>
        <item x="559"/>
        <item x="200"/>
        <item x="440"/>
        <item x="184"/>
        <item x="615"/>
        <item x="146"/>
        <item x="262"/>
        <item x="636"/>
        <item x="151"/>
        <item x="586"/>
        <item x="15"/>
        <item x="230"/>
        <item x="938"/>
        <item x="48"/>
        <item x="253"/>
        <item x="476"/>
        <item x="902"/>
        <item x="923"/>
        <item x="103"/>
        <item x="581"/>
        <item x="478"/>
        <item x="866"/>
        <item x="941"/>
        <item x="394"/>
        <item x="359"/>
        <item x="742"/>
        <item x="919"/>
        <item x="663"/>
        <item x="49"/>
        <item x="709"/>
        <item x="943"/>
        <item x="793"/>
        <item x="396"/>
        <item x="528"/>
        <item x="657"/>
        <item x="214"/>
        <item x="831"/>
        <item x="643"/>
        <item x="946"/>
        <item x="805"/>
        <item x="221"/>
        <item x="666"/>
        <item x="149"/>
        <item x="720"/>
        <item x="22"/>
        <item x="66"/>
        <item x="554"/>
        <item x="432"/>
        <item x="961"/>
        <item x="424"/>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x v="3"/>
    </i>
  </rowItems>
  <colFields count="1">
    <field x="-2"/>
  </colFields>
  <colItems count="2">
    <i>
      <x/>
    </i>
    <i i="1">
      <x v="1"/>
    </i>
  </colItems>
  <dataFields count="2">
    <dataField name="Average of Discount" fld="10" subtotal="average" baseField="6" baseItem="0"/>
    <dataField name="Average of Net_profit" fld="14" subtotal="average" baseField="0" baseItem="0"/>
  </dataFields>
  <formats count="2">
    <format dxfId="1">
      <pivotArea collapsedLevelsAreSubtotals="1" fieldPosition="0">
        <references count="1">
          <reference field="6" count="0"/>
        </references>
      </pivotArea>
    </format>
    <format dxfId="0">
      <pivotArea collapsedLevelsAreSubtotals="1" fieldPosition="0">
        <references count="2">
          <reference field="4294967294" count="1" selected="0">
            <x v="0"/>
          </reference>
          <reference field="6" count="0"/>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6" count="1" selected="0">
            <x v="3"/>
          </reference>
        </references>
      </pivotArea>
    </chartFormat>
    <chartFormat chart="0" format="3">
      <pivotArea type="data" outline="0" fieldPosition="0">
        <references count="2">
          <reference field="4294967294" count="1" selected="0">
            <x v="1"/>
          </reference>
          <reference field="6" count="1" selected="0">
            <x v="0"/>
          </reference>
        </references>
      </pivotArea>
    </chartFormat>
    <chartFormat chart="0" format="4">
      <pivotArea type="data" outline="0" fieldPosition="0">
        <references count="2">
          <reference field="4294967294" count="1" selected="0">
            <x v="1"/>
          </reference>
          <reference field="6" count="1" selected="0">
            <x v="1"/>
          </reference>
        </references>
      </pivotArea>
    </chartFormat>
    <chartFormat chart="0" format="5">
      <pivotArea type="data" outline="0" fieldPosition="0">
        <references count="2">
          <reference field="4294967294" count="1" selected="0">
            <x v="1"/>
          </reference>
          <reference field="6" count="1" selected="0">
            <x v="2"/>
          </reference>
        </references>
      </pivotArea>
    </chartFormat>
    <chartFormat chart="0" format="6">
      <pivotArea type="data" outline="0" fieldPosition="0">
        <references count="2">
          <reference field="4294967294" count="1" selected="0">
            <x v="0"/>
          </reference>
          <reference field="6" count="1" selected="0">
            <x v="0"/>
          </reference>
        </references>
      </pivotArea>
    </chartFormat>
    <chartFormat chart="0" format="7">
      <pivotArea type="data" outline="0" fieldPosition="0">
        <references count="2">
          <reference field="4294967294" count="1" selected="0">
            <x v="0"/>
          </reference>
          <reference field="6" count="1" selected="0">
            <x v="1"/>
          </reference>
        </references>
      </pivotArea>
    </chartFormat>
    <chartFormat chart="0" format="8">
      <pivotArea type="data" outline="0" fieldPosition="0">
        <references count="2">
          <reference field="4294967294" count="1" selected="0">
            <x v="0"/>
          </reference>
          <reference field="6" count="1" selected="0">
            <x v="2"/>
          </reference>
        </references>
      </pivotArea>
    </chartFormat>
    <chartFormat chart="0"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548D62-E0E1-46E2-92BF-7B97E0169A3A}"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107:B113"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axis="axisRow" showAll="0" sortType="a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numFmtId="164" showAll="0"/>
    <pivotField showAll="0"/>
    <pivotField showAll="0"/>
    <pivotField numFmtId="164" showAll="0"/>
    <pivotField numFmtId="164" showAll="0"/>
    <pivotField showAll="0">
      <items count="3">
        <item x="1"/>
        <item x="0"/>
        <item t="default"/>
      </items>
    </pivotField>
    <pivotField numFmtId="9" showAll="0"/>
    <pivotField showAll="0"/>
    <pivotField showAll="0"/>
    <pivotField showAll="0"/>
    <pivotField dataField="1" numFmtId="164" showAll="0"/>
    <pivotField showAll="0" defaultSubtotal="0">
      <items count="6">
        <item x="0"/>
        <item x="1"/>
        <item x="2"/>
        <item x="3"/>
        <item x="4"/>
        <item x="5"/>
      </items>
    </pivotField>
    <pivotField showAll="0" defaultSubtotal="0"/>
  </pivotFields>
  <rowFields count="1">
    <field x="2"/>
  </rowFields>
  <rowItems count="6">
    <i>
      <x v="2"/>
    </i>
    <i>
      <x v="1"/>
    </i>
    <i>
      <x/>
    </i>
    <i>
      <x v="4"/>
    </i>
    <i>
      <x v="3"/>
    </i>
    <i t="grand">
      <x/>
    </i>
  </rowItems>
  <colItems count="1">
    <i/>
  </colItems>
  <dataFields count="1">
    <dataField name="Sum of Net_profit" fld="14" baseField="0" baseItem="0" numFmtId="164"/>
  </dataFields>
  <formats count="1">
    <format dxfId="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CE34C7-526D-4A91-8186-25E32FB4052D}" name="Jawaban 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64:C80" firstHeaderRow="0" firstDataRow="1" firstDataCol="1"/>
  <pivotFields count="17">
    <pivotField showAll="0"/>
    <pivotField axis="axisRow" numFmtId="14" showAll="0">
      <items count="15">
        <item x="0"/>
        <item x="1"/>
        <item x="2"/>
        <item x="3"/>
        <item x="4"/>
        <item x="5"/>
        <item x="6"/>
        <item x="7"/>
        <item x="8"/>
        <item x="9"/>
        <item x="10"/>
        <item x="11"/>
        <item x="12"/>
        <item x="13"/>
        <item t="default"/>
      </items>
    </pivotField>
    <pivotField showAll="0">
      <items count="6">
        <item x="4"/>
        <item x="0"/>
        <item x="2"/>
        <item x="1"/>
        <item x="3"/>
        <item t="default"/>
      </items>
    </pivotField>
    <pivotField showAll="0">
      <items count="5">
        <item x="3"/>
        <item x="0"/>
        <item x="2"/>
        <item x="1"/>
        <item t="default"/>
      </items>
    </pivotField>
    <pivotField numFmtId="164" showAll="0"/>
    <pivotField dataField="1" showAll="0"/>
    <pivotField showAll="0"/>
    <pivotField numFmtId="164" showAll="0"/>
    <pivotField numFmtId="164" showAll="0"/>
    <pivotField showAll="0">
      <items count="3">
        <item x="1"/>
        <item x="0"/>
        <item t="default"/>
      </items>
    </pivotField>
    <pivotField numFmtId="9" showAll="0"/>
    <pivotField showAll="0"/>
    <pivotField showAll="0"/>
    <pivotField showAll="0"/>
    <pivotField dataField="1" numFmtId="164" showAll="0"/>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6"/>
    <field x="1"/>
  </rowFields>
  <rowItems count="16">
    <i>
      <x v="1"/>
    </i>
    <i r="1">
      <x v="1"/>
    </i>
    <i r="1">
      <x v="2"/>
    </i>
    <i r="1">
      <x v="3"/>
    </i>
    <i r="1">
      <x v="4"/>
    </i>
    <i r="1">
      <x v="5"/>
    </i>
    <i r="1">
      <x v="6"/>
    </i>
    <i r="1">
      <x v="7"/>
    </i>
    <i r="1">
      <x v="8"/>
    </i>
    <i r="1">
      <x v="9"/>
    </i>
    <i r="1">
      <x v="10"/>
    </i>
    <i r="1">
      <x v="11"/>
    </i>
    <i r="1">
      <x v="12"/>
    </i>
    <i>
      <x v="2"/>
    </i>
    <i r="1">
      <x v="1"/>
    </i>
    <i t="grand">
      <x/>
    </i>
  </rowItems>
  <colFields count="1">
    <field x="-2"/>
  </colFields>
  <colItems count="2">
    <i>
      <x/>
    </i>
    <i i="1">
      <x v="1"/>
    </i>
  </colItems>
  <dataFields count="2">
    <dataField name="Sum of Net_profit" fld="14" baseField="0" baseItem="0"/>
    <dataField name="Sum of Quantity_Sold" fld="5" baseField="1" baseItem="1"/>
  </dataFields>
  <formats count="4">
    <format dxfId="6">
      <pivotArea collapsedLevelsAreSubtotals="1" fieldPosition="0">
        <references count="2">
          <reference field="4294967294" count="1" selected="0">
            <x v="0"/>
          </reference>
          <reference field="16" count="1">
            <x v="1"/>
          </reference>
        </references>
      </pivotArea>
    </format>
    <format dxfId="5">
      <pivotArea collapsedLevelsAreSubtotals="1" fieldPosition="0">
        <references count="3">
          <reference field="4294967294" count="1" selected="0">
            <x v="0"/>
          </reference>
          <reference field="1" count="12">
            <x v="1"/>
            <x v="2"/>
            <x v="3"/>
            <x v="4"/>
            <x v="5"/>
            <x v="6"/>
            <x v="7"/>
            <x v="8"/>
            <x v="9"/>
            <x v="10"/>
            <x v="11"/>
            <x v="12"/>
          </reference>
          <reference field="16" count="1" selected="0">
            <x v="1"/>
          </reference>
        </references>
      </pivotArea>
    </format>
    <format dxfId="4">
      <pivotArea collapsedLevelsAreSubtotals="1" fieldPosition="0">
        <references count="2">
          <reference field="4294967294" count="1" selected="0">
            <x v="0"/>
          </reference>
          <reference field="16" count="1">
            <x v="2"/>
          </reference>
        </references>
      </pivotArea>
    </format>
    <format dxfId="3">
      <pivotArea collapsedLevelsAreSubtotals="1" fieldPosition="0">
        <references count="3">
          <reference field="4294967294" count="1" selected="0">
            <x v="0"/>
          </reference>
          <reference field="1" count="1">
            <x v="1"/>
          </reference>
          <reference field="16" count="1" selected="0">
            <x v="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70BECC-ABC7-4604-9642-D119FA48424D}" name="Jawaban 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82:B88" firstHeaderRow="1" firstDataRow="1" firstDataCol="1"/>
  <pivotFields count="17">
    <pivotField axis="axisRow" showAll="0" measureFilter="1" sortType="ascending">
      <items count="101">
        <item x="10"/>
        <item x="73"/>
        <item x="92"/>
        <item x="85"/>
        <item x="78"/>
        <item x="56"/>
        <item x="79"/>
        <item x="1"/>
        <item x="28"/>
        <item x="25"/>
        <item x="41"/>
        <item x="23"/>
        <item x="9"/>
        <item x="7"/>
        <item x="74"/>
        <item x="59"/>
        <item x="42"/>
        <item x="6"/>
        <item x="60"/>
        <item x="48"/>
        <item x="29"/>
        <item x="76"/>
        <item x="47"/>
        <item x="77"/>
        <item x="21"/>
        <item x="8"/>
        <item x="55"/>
        <item x="35"/>
        <item x="3"/>
        <item x="43"/>
        <item x="86"/>
        <item x="91"/>
        <item x="89"/>
        <item x="95"/>
        <item x="83"/>
        <item x="65"/>
        <item x="18"/>
        <item x="53"/>
        <item x="30"/>
        <item x="4"/>
        <item x="19"/>
        <item x="26"/>
        <item x="22"/>
        <item x="84"/>
        <item x="87"/>
        <item x="33"/>
        <item x="52"/>
        <item x="14"/>
        <item x="0"/>
        <item x="32"/>
        <item x="50"/>
        <item x="24"/>
        <item x="57"/>
        <item x="31"/>
        <item x="98"/>
        <item x="64"/>
        <item x="44"/>
        <item x="80"/>
        <item x="27"/>
        <item x="62"/>
        <item x="58"/>
        <item x="36"/>
        <item x="17"/>
        <item x="72"/>
        <item x="49"/>
        <item x="46"/>
        <item x="54"/>
        <item x="20"/>
        <item x="82"/>
        <item x="96"/>
        <item x="16"/>
        <item x="63"/>
        <item x="69"/>
        <item x="75"/>
        <item x="61"/>
        <item x="97"/>
        <item x="11"/>
        <item x="71"/>
        <item x="13"/>
        <item x="5"/>
        <item x="94"/>
        <item x="88"/>
        <item x="37"/>
        <item x="90"/>
        <item x="93"/>
        <item x="2"/>
        <item x="39"/>
        <item x="81"/>
        <item x="70"/>
        <item x="67"/>
        <item x="99"/>
        <item x="40"/>
        <item x="45"/>
        <item x="34"/>
        <item x="51"/>
        <item x="68"/>
        <item x="38"/>
        <item x="12"/>
        <item x="15"/>
        <item x="66"/>
        <item t="default"/>
      </items>
      <autoSortScope>
        <pivotArea dataOnly="0" outline="0" fieldPosition="0">
          <references count="1">
            <reference field="4294967294" count="1" selected="0">
              <x v="0"/>
            </reference>
          </references>
        </pivotArea>
      </autoSortScope>
    </pivotField>
    <pivotField numFmtId="14" showAll="0">
      <items count="15">
        <item x="0"/>
        <item x="1"/>
        <item x="2"/>
        <item x="3"/>
        <item x="4"/>
        <item x="5"/>
        <item x="6"/>
        <item x="7"/>
        <item x="8"/>
        <item x="9"/>
        <item x="10"/>
        <item x="11"/>
        <item x="12"/>
        <item x="13"/>
        <item t="default"/>
      </items>
    </pivotField>
    <pivotField showAll="0">
      <items count="6">
        <item x="4"/>
        <item x="0"/>
        <item x="2"/>
        <item x="1"/>
        <item x="3"/>
        <item t="default"/>
      </items>
    </pivotField>
    <pivotField showAll="0">
      <items count="5">
        <item x="3"/>
        <item x="0"/>
        <item x="2"/>
        <item x="1"/>
        <item t="default"/>
      </items>
    </pivotField>
    <pivotField numFmtId="164" showAll="0"/>
    <pivotField dataField="1" showAll="0"/>
    <pivotField showAll="0"/>
    <pivotField numFmtId="164" showAll="0"/>
    <pivotField numFmtId="164" showAll="0"/>
    <pivotField showAll="0">
      <items count="3">
        <item x="1"/>
        <item x="0"/>
        <item t="default"/>
      </items>
    </pivotField>
    <pivotField numFmtId="9" showAll="0"/>
    <pivotField showAll="0"/>
    <pivotField showAll="0"/>
    <pivotField showAll="0"/>
    <pivotField numFmtId="164" showAll="0"/>
    <pivotField showAll="0" defaultSubtotal="0"/>
    <pivotField showAll="0" defaultSubtotal="0"/>
  </pivotFields>
  <rowFields count="1">
    <field x="0"/>
  </rowFields>
  <rowItems count="6">
    <i>
      <x v="42"/>
    </i>
    <i>
      <x v="1"/>
    </i>
    <i>
      <x v="38"/>
    </i>
    <i>
      <x v="8"/>
    </i>
    <i>
      <x v="10"/>
    </i>
    <i t="grand">
      <x/>
    </i>
  </rowItems>
  <colItems count="1">
    <i/>
  </colItems>
  <dataFields count="1">
    <dataField name="Sum of Quantity_Sold" fld="5" baseField="0" baseItem="89"/>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3B1EAB-1916-470D-A196-1EB8C55DCCF1}"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03:B104" firstHeaderRow="0" firstDataRow="1" firstDataCol="0"/>
  <pivotFields count="17">
    <pivotField showAll="0"/>
    <pivotField numFmtId="14" showAll="0">
      <items count="15">
        <item x="0"/>
        <item x="1"/>
        <item x="2"/>
        <item x="3"/>
        <item x="4"/>
        <item x="5"/>
        <item x="6"/>
        <item x="7"/>
        <item x="8"/>
        <item x="9"/>
        <item x="10"/>
        <item x="11"/>
        <item x="12"/>
        <item x="13"/>
        <item t="default"/>
      </items>
    </pivotField>
    <pivotField showAll="0">
      <items count="6">
        <item x="4"/>
        <item x="0"/>
        <item x="2"/>
        <item x="1"/>
        <item x="3"/>
        <item t="default"/>
      </items>
    </pivotField>
    <pivotField showAll="0">
      <items count="5">
        <item x="3"/>
        <item x="0"/>
        <item x="2"/>
        <item x="1"/>
        <item t="default"/>
      </items>
    </pivotField>
    <pivotField numFmtId="164" showAll="0"/>
    <pivotField dataField="1" showAll="0"/>
    <pivotField showAll="0"/>
    <pivotField numFmtId="164" showAll="0"/>
    <pivotField numFmtId="164" showAll="0"/>
    <pivotField showAll="0">
      <items count="3">
        <item x="1"/>
        <item x="0"/>
        <item t="default"/>
      </items>
    </pivotField>
    <pivotField numFmtId="9" showAll="0"/>
    <pivotField showAll="0"/>
    <pivotField showAll="0"/>
    <pivotField showAll="0"/>
    <pivotField dataField="1" numFmtId="164" showAll="0"/>
    <pivotField showAll="0" defaultSubtotal="0"/>
    <pivotField showAll="0" defaultSubtotal="0"/>
  </pivotFields>
  <rowItems count="1">
    <i/>
  </rowItems>
  <colFields count="1">
    <field x="-2"/>
  </colFields>
  <colItems count="2">
    <i>
      <x/>
    </i>
    <i i="1">
      <x v="1"/>
    </i>
  </colItems>
  <dataFields count="2">
    <dataField name="Sum of Net_profit" fld="14" baseField="0" baseItem="0" numFmtId="164"/>
    <dataField name="Sum of Quantity_Sold" fld="5" baseField="0" baseItem="0"/>
  </dataFields>
  <formats count="2">
    <format dxfId="8">
      <pivotArea outline="0" collapsedLevelsAreSubtotals="1" fieldPosition="0"/>
    </format>
    <format dxfId="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6871BA-7DAE-4E18-865A-8145862E2A46}" name="Jawaban 4" cacheId="0" applyNumberFormats="0" applyBorderFormats="0" applyFontFormats="0" applyPatternFormats="0" applyAlignmentFormats="0" applyWidthHeightFormats="1" dataCaption="Values" updatedVersion="7" minRefreshableVersion="5" useAutoFormatting="1" colGrandTotals="0" itemPrintTitles="1" createdVersion="7" indent="0" outline="1" outlineData="1" multipleFieldFilters="0" chartFormat="1">
  <location ref="A48:D54" firstHeaderRow="1" firstDataRow="2" firstDataCol="1"/>
  <pivotFields count="17">
    <pivotField showAll="0"/>
    <pivotField numFmtId="14" showAll="0">
      <items count="15">
        <item x="0"/>
        <item x="1"/>
        <item x="2"/>
        <item x="3"/>
        <item x="4"/>
        <item x="5"/>
        <item x="6"/>
        <item x="7"/>
        <item x="8"/>
        <item x="9"/>
        <item x="10"/>
        <item x="11"/>
        <item x="12"/>
        <item x="13"/>
        <item t="default"/>
      </items>
    </pivotField>
    <pivotField showAll="0">
      <items count="6">
        <item x="4"/>
        <item x="0"/>
        <item x="2"/>
        <item x="1"/>
        <item x="3"/>
        <item t="default"/>
      </items>
    </pivotField>
    <pivotField axis="axisRow" showAll="0">
      <items count="5">
        <item x="3"/>
        <item x="0"/>
        <item x="2"/>
        <item x="1"/>
        <item t="default"/>
      </items>
    </pivotField>
    <pivotField dataField="1" numFmtId="164" showAll="0"/>
    <pivotField showAll="0"/>
    <pivotField showAll="0"/>
    <pivotField numFmtId="164" showAll="0"/>
    <pivotField numFmtId="164" showAll="0"/>
    <pivotField showAll="0">
      <items count="3">
        <item x="1"/>
        <item x="0"/>
        <item t="default"/>
      </items>
    </pivotField>
    <pivotField numFmtId="9" showAll="0"/>
    <pivotField axis="axisCol" showAll="0">
      <items count="4">
        <item x="1"/>
        <item x="0"/>
        <item x="2"/>
        <item t="default"/>
      </items>
    </pivotField>
    <pivotField showAll="0"/>
    <pivotField showAll="0"/>
    <pivotField numFmtId="164"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Fields count="1">
    <field x="11"/>
  </colFields>
  <colItems count="3">
    <i>
      <x/>
    </i>
    <i>
      <x v="1"/>
    </i>
    <i>
      <x v="2"/>
    </i>
  </colItems>
  <dataFields count="1">
    <dataField name="Sum of Sales_Amount" fld="4" baseField="0" baseItem="0" numFmtId="164"/>
  </dataFields>
  <formats count="1">
    <format dxfId="9">
      <pivotArea outline="0" collapsedLevelsAreSubtotals="1" fieldPosition="0"/>
    </format>
  </formats>
  <chartFormats count="3">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81352C-4BA9-4592-AE5F-87D5D4F030F6}" name="Jawaban 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1:E37" firstHeaderRow="1" firstDataRow="2" firstDataCol="1"/>
  <pivotFields count="17">
    <pivotField showAll="0"/>
    <pivotField numFmtId="14" showAll="0">
      <items count="15">
        <item x="0"/>
        <item x="1"/>
        <item x="2"/>
        <item x="3"/>
        <item x="4"/>
        <item x="5"/>
        <item x="6"/>
        <item x="7"/>
        <item x="8"/>
        <item x="9"/>
        <item x="10"/>
        <item x="11"/>
        <item x="12"/>
        <item x="13"/>
        <item t="default"/>
      </items>
    </pivotField>
    <pivotField showAll="0">
      <items count="6">
        <item x="4"/>
        <item x="0"/>
        <item x="2"/>
        <item x="1"/>
        <item x="3"/>
        <item t="default"/>
      </items>
    </pivotField>
    <pivotField axis="axisRow" showAll="0">
      <items count="5">
        <item x="3"/>
        <item x="0"/>
        <item x="2"/>
        <item x="1"/>
        <item t="default"/>
      </items>
    </pivotField>
    <pivotField numFmtId="164"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pivotField showAll="0"/>
    <pivotField numFmtId="164" showAll="0"/>
    <pivotField numFmtId="164" showAll="0"/>
    <pivotField showAll="0">
      <items count="3">
        <item x="1"/>
        <item x="0"/>
        <item t="default"/>
      </items>
    </pivotField>
    <pivotField numFmtId="9" showAll="0"/>
    <pivotField axis="axisCol" dataField="1" showAll="0">
      <items count="4">
        <item x="1"/>
        <item x="0"/>
        <item x="2"/>
        <item t="default"/>
      </items>
    </pivotField>
    <pivotField showAll="0"/>
    <pivotField showAll="0">
      <items count="21">
        <item x="18"/>
        <item x="12"/>
        <item x="4"/>
        <item x="16"/>
        <item x="14"/>
        <item x="15"/>
        <item x="0"/>
        <item x="19"/>
        <item x="11"/>
        <item x="7"/>
        <item x="9"/>
        <item x="3"/>
        <item x="10"/>
        <item x="2"/>
        <item x="6"/>
        <item x="17"/>
        <item x="1"/>
        <item x="5"/>
        <item x="13"/>
        <item x="8"/>
        <item t="default"/>
      </items>
    </pivotField>
    <pivotField numFmtId="164"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Fields count="1">
    <field x="11"/>
  </colFields>
  <colItems count="4">
    <i>
      <x/>
    </i>
    <i>
      <x v="1"/>
    </i>
    <i>
      <x v="2"/>
    </i>
    <i t="grand">
      <x/>
    </i>
  </colItems>
  <dataFields count="1">
    <dataField name="Count of Payment_Method" fld="11" subtotal="count" baseField="3" baseItem="0"/>
  </dataFields>
  <chartFormats count="7">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3" format="9" series="1">
      <pivotArea type="data" outline="0" fieldPosition="0">
        <references count="2">
          <reference field="4294967294" count="1" selected="0">
            <x v="0"/>
          </reference>
          <reference field="11" count="1" selected="0">
            <x v="0"/>
          </reference>
        </references>
      </pivotArea>
    </chartFormat>
    <chartFormat chart="3" format="10" series="1">
      <pivotArea type="data" outline="0" fieldPosition="0">
        <references count="2">
          <reference field="4294967294" count="1" selected="0">
            <x v="0"/>
          </reference>
          <reference field="11" count="1" selected="0">
            <x v="1"/>
          </reference>
        </references>
      </pivotArea>
    </chartFormat>
    <chartFormat chart="3" format="11" series="1">
      <pivotArea type="data" outline="0" fieldPosition="0">
        <references count="2">
          <reference field="4294967294" count="1" selected="0">
            <x v="0"/>
          </reference>
          <reference field="11" count="1" selected="0">
            <x v="2"/>
          </reference>
        </references>
      </pivotArea>
    </chartFormat>
    <chartFormat chart="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C8C2C9-8769-463D-94CC-7C816559FFBE}" name="Jawaban 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9:C25" firstHeaderRow="0" firstDataRow="1" firstDataCol="1"/>
  <pivotFields count="17">
    <pivotField showAll="0"/>
    <pivotField numFmtId="14" showAll="0">
      <items count="15">
        <item x="0"/>
        <item x="1"/>
        <item x="2"/>
        <item x="3"/>
        <item x="4"/>
        <item x="5"/>
        <item x="6"/>
        <item x="7"/>
        <item x="8"/>
        <item x="9"/>
        <item x="10"/>
        <item x="11"/>
        <item x="12"/>
        <item x="13"/>
        <item t="default"/>
      </items>
    </pivotField>
    <pivotField axis="axisRow" showAll="0">
      <items count="6">
        <item x="4"/>
        <item x="0"/>
        <item x="2"/>
        <item x="1"/>
        <item x="3"/>
        <item t="default"/>
      </items>
    </pivotField>
    <pivotField showAll="0">
      <items count="5">
        <item x="3"/>
        <item x="0"/>
        <item x="2"/>
        <item x="1"/>
        <item t="default"/>
      </items>
    </pivotField>
    <pivotField numFmtId="164" showAll="0"/>
    <pivotField dataField="1" showAll="0"/>
    <pivotField showAll="0"/>
    <pivotField numFmtId="164" showAll="0"/>
    <pivotField numFmtId="164" showAll="0"/>
    <pivotField showAll="0">
      <items count="3">
        <item x="1"/>
        <item x="0"/>
        <item t="default"/>
      </items>
    </pivotField>
    <pivotField numFmtId="9" showAll="0"/>
    <pivotField showAll="0"/>
    <pivotField showAll="0"/>
    <pivotField showAll="0"/>
    <pivotField dataField="1" numFmtId="164"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Fields count="1">
    <field x="-2"/>
  </colFields>
  <colItems count="2">
    <i>
      <x/>
    </i>
    <i i="1">
      <x v="1"/>
    </i>
  </colItems>
  <dataFields count="2">
    <dataField name="Sum of Net_profit" fld="14" baseField="0" baseItem="0" numFmtId="164"/>
    <dataField name="Sum of Quantity_Sold" fld="5" baseField="0" baseItem="0"/>
  </dataFields>
  <formats count="1">
    <format dxfId="1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EBA19F-BA8E-437F-BE83-815C4A09621A}" name="Jawaban 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91:B96" firstHeaderRow="1" firstDataRow="1" firstDataCol="1"/>
  <pivotFields count="17">
    <pivotField showAll="0"/>
    <pivotField numFmtId="14" showAll="0">
      <items count="15">
        <item x="0"/>
        <item x="1"/>
        <item x="2"/>
        <item x="3"/>
        <item x="4"/>
        <item x="5"/>
        <item x="6"/>
        <item x="7"/>
        <item x="8"/>
        <item x="9"/>
        <item x="10"/>
        <item x="11"/>
        <item x="12"/>
        <item x="13"/>
        <item t="default"/>
      </items>
    </pivotField>
    <pivotField showAll="0">
      <items count="6">
        <item x="4"/>
        <item x="0"/>
        <item x="2"/>
        <item x="1"/>
        <item x="3"/>
        <item t="default"/>
      </items>
    </pivotField>
    <pivotField axis="axisRow" showAll="0">
      <items count="5">
        <item x="3"/>
        <item x="0"/>
        <item x="2"/>
        <item x="1"/>
        <item t="default"/>
      </items>
    </pivotField>
    <pivotField numFmtId="164" showAll="0"/>
    <pivotField showAll="0"/>
    <pivotField showAll="0"/>
    <pivotField numFmtId="164" showAll="0"/>
    <pivotField numFmtId="164" showAll="0"/>
    <pivotField showAll="0">
      <items count="3">
        <item x="1"/>
        <item x="0"/>
        <item t="default"/>
      </items>
    </pivotField>
    <pivotField numFmtId="9" showAll="0"/>
    <pivotField showAll="0"/>
    <pivotField showAll="0"/>
    <pivotField showAll="0"/>
    <pivotField dataField="1" numFmtId="164" showAll="0"/>
    <pivotField showAll="0" defaultSubtotal="0"/>
    <pivotField showAll="0" defaultSubtotal="0"/>
  </pivotFields>
  <rowFields count="1">
    <field x="3"/>
  </rowFields>
  <rowItems count="5">
    <i>
      <x/>
    </i>
    <i>
      <x v="1"/>
    </i>
    <i>
      <x v="2"/>
    </i>
    <i>
      <x v="3"/>
    </i>
    <i t="grand">
      <x/>
    </i>
  </rowItems>
  <colItems count="1">
    <i/>
  </colItems>
  <dataFields count="1">
    <dataField name="Sum of Net_profit" fld="14" baseField="0" baseItem="0" numFmtId="164"/>
  </dataFields>
  <formats count="1">
    <format dxfId="11">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2" format="11" series="1">
      <pivotArea type="data" outline="0" fieldPosition="0">
        <references count="2">
          <reference field="4294967294" count="1" selected="0">
            <x v="0"/>
          </reference>
          <reference field="3" count="1" selected="0">
            <x v="1"/>
          </reference>
        </references>
      </pivotArea>
    </chartFormat>
    <chartFormat chart="2" format="12" series="1">
      <pivotArea type="data" outline="0" fieldPosition="0">
        <references count="2">
          <reference field="4294967294" count="1" selected="0">
            <x v="0"/>
          </reference>
          <reference field="3" count="1" selected="0">
            <x v="2"/>
          </reference>
        </references>
      </pivotArea>
    </chartFormat>
    <chartFormat chart="2" format="13" series="1">
      <pivotArea type="data" outline="0" fieldPosition="0">
        <references count="2">
          <reference field="4294967294" count="1" selected="0">
            <x v="0"/>
          </reference>
          <reference field="3" count="1" selected="0">
            <x v="3"/>
          </reference>
        </references>
      </pivotArea>
    </chartFormat>
    <chartFormat chart="0" format="5" series="1">
      <pivotArea type="data" outline="0" fieldPosition="0">
        <references count="2">
          <reference field="4294967294" count="1" selected="0">
            <x v="0"/>
          </reference>
          <reference field="3" count="1" selected="0">
            <x v="1"/>
          </reference>
        </references>
      </pivotArea>
    </chartFormat>
    <chartFormat chart="0" format="6" series="1">
      <pivotArea type="data" outline="0" fieldPosition="0">
        <references count="2">
          <reference field="4294967294" count="1" selected="0">
            <x v="0"/>
          </reference>
          <reference field="3" count="1" selected="0">
            <x v="2"/>
          </reference>
        </references>
      </pivotArea>
    </chartFormat>
    <chartFormat chart="0" format="7"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E08F484C-FB4E-40A6-B943-9F1B5114A641}" sourceName="Sales_Rep">
  <pivotTables>
    <pivotTable tabId="3" name="Jawaban 7"/>
    <pivotTable tabId="3" name="Jawaban 1"/>
    <pivotTable tabId="3" name="Jawaban 2"/>
    <pivotTable tabId="3" name="Jawaban 3"/>
    <pivotTable tabId="3" name="Jawaban 4"/>
    <pivotTable tabId="3" name="Jawaban 5"/>
    <pivotTable tabId="3" name="Jawaban 6"/>
    <pivotTable tabId="3" name="PivotTable7"/>
    <pivotTable tabId="3" name="PivotTable1"/>
  </pivotTables>
  <data>
    <tabular pivotCacheId="1056164785">
      <items count="5">
        <i x="4" s="1"/>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B0043D-54E3-4317-A860-FB7F5856FC5B}" sourceName="Region">
  <pivotTables>
    <pivotTable tabId="3" name="Jawaban 7"/>
    <pivotTable tabId="3" name="Jawaban 1"/>
    <pivotTable tabId="3" name="Jawaban 2"/>
    <pivotTable tabId="3" name="Jawaban 3"/>
    <pivotTable tabId="3" name="Jawaban 4"/>
    <pivotTable tabId="3" name="Jawaban 5"/>
    <pivotTable tabId="3" name="Jawaban 6"/>
    <pivotTable tabId="3" name="PivotTable7"/>
    <pivotTable tabId="3" name="PivotTable1"/>
  </pivotTables>
  <data>
    <tabular pivotCacheId="1056164785">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590639F-99CF-494A-8FF4-715C334604D9}" sourceName="Customer_Type">
  <pivotTables>
    <pivotTable tabId="3" name="Jawaban 7"/>
    <pivotTable tabId="3" name="Jawaban 1"/>
    <pivotTable tabId="3" name="Jawaban 2"/>
    <pivotTable tabId="3" name="Jawaban 3"/>
    <pivotTable tabId="3" name="Jawaban 4"/>
    <pivotTable tabId="3" name="Jawaban 5"/>
    <pivotTable tabId="3" name="Jawaban 6"/>
    <pivotTable tabId="3" name="PivotTable7"/>
    <pivotTable tabId="3" name="PivotTable1"/>
  </pivotTables>
  <data>
    <tabular pivotCacheId="105616478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Rep" xr10:uid="{5D6883A5-8B4F-4FB8-8CF1-7E3BA8AA0FBC}" cache="Slicer_Sales_Rep" caption="Sales_Rep" rowHeight="241300"/>
  <slicer name="Region" xr10:uid="{72738259-2F1C-4D44-9AE7-E32C83603171}" cache="Slicer_Region" caption="Region" rowHeight="241300"/>
  <slicer name="Customer_Type" xr10:uid="{DB7E8A80-BD38-4AB1-A85C-609BB497221D}" cache="Slicer_Customer_Type" caption="Customer_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1001" totalsRowShown="0">
  <autoFilter ref="A1:O1001" xr:uid="{00000000-0009-0000-0100-000001000000}"/>
  <tableColumns count="15">
    <tableColumn id="1" xr3:uid="{00000000-0010-0000-0000-000001000000}" name="Product_ID"/>
    <tableColumn id="2" xr3:uid="{00000000-0010-0000-0000-000002000000}" name="Sale_Date" dataDxfId="16"/>
    <tableColumn id="3" xr3:uid="{00000000-0010-0000-0000-000003000000}" name="Sales_Rep"/>
    <tableColumn id="4" xr3:uid="{00000000-0010-0000-0000-000004000000}" name="Region"/>
    <tableColumn id="5" xr3:uid="{00000000-0010-0000-0000-000005000000}" name="Sales_Amount" dataDxfId="15" dataCellStyle="Currency"/>
    <tableColumn id="6" xr3:uid="{00000000-0010-0000-0000-000006000000}" name="Quantity_Sold"/>
    <tableColumn id="7" xr3:uid="{00000000-0010-0000-0000-000007000000}" name="Product_Category"/>
    <tableColumn id="8" xr3:uid="{00000000-0010-0000-0000-000008000000}" name="Unit_Cost" dataDxfId="14" dataCellStyle="Currency"/>
    <tableColumn id="9" xr3:uid="{00000000-0010-0000-0000-000009000000}" name="Unit_Price" dataDxfId="13" dataCellStyle="Currency"/>
    <tableColumn id="10" xr3:uid="{00000000-0010-0000-0000-00000A000000}" name="Customer_Type"/>
    <tableColumn id="11" xr3:uid="{00000000-0010-0000-0000-00000B000000}" name="Discount" dataCellStyle="Percent"/>
    <tableColumn id="12" xr3:uid="{00000000-0010-0000-0000-00000C000000}" name="Payment_Method"/>
    <tableColumn id="13" xr3:uid="{00000000-0010-0000-0000-00000D000000}" name="Sales_Channel"/>
    <tableColumn id="14" xr3:uid="{00000000-0010-0000-0000-00000E000000}" name="Region_and_Sales_Rep"/>
    <tableColumn id="16" xr3:uid="{154C4051-BBE0-4F5A-8A08-8375CBE1C790}" name="Net_profit" dataDxfId="12">
      <calculatedColumnFormula>(I2-H2)*F2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22360977-5482-4336-8ED9-3A1B741982C5}" sourceName="Sale_Date">
  <pivotTables>
    <pivotTable tabId="3" name="Jawaban 5"/>
    <pivotTable tabId="3" name="Jawaban 1"/>
    <pivotTable tabId="3" name="Jawaban 2"/>
    <pivotTable tabId="3" name="Jawaban 3"/>
    <pivotTable tabId="3" name="Jawaban 4"/>
    <pivotTable tabId="3" name="Jawaban 6"/>
    <pivotTable tabId="3" name="Jawaban 7"/>
    <pivotTable tabId="3" name="PivotTable7"/>
    <pivotTable tabId="3" name="PivotTable1"/>
  </pivotTables>
  <state minimalRefreshVersion="6" lastRefreshVersion="6" pivotCacheId="105616478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4AAB45FE-5598-45EE-A962-5DDF51D689DA}" cache="NativeTimeline_Sale_Date" caption="Sale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opLeftCell="A901" zoomScale="59" zoomScaleNormal="100" workbookViewId="0">
      <selection activeCell="D927" sqref="D927"/>
    </sheetView>
  </sheetViews>
  <sheetFormatPr defaultRowHeight="14.5" x14ac:dyDescent="0.35"/>
  <cols>
    <col min="1" max="1" width="12.26953125" customWidth="1"/>
    <col min="2" max="2" width="18.453125" customWidth="1"/>
    <col min="3" max="3" width="13.08984375" customWidth="1"/>
    <col min="4" max="4" width="8.453125" customWidth="1"/>
    <col min="5" max="5" width="14.81640625" customWidth="1"/>
    <col min="6" max="6" width="14.7265625" customWidth="1"/>
    <col min="7" max="7" width="17.90625" customWidth="1"/>
    <col min="8" max="8" width="13.08984375" customWidth="1"/>
    <col min="9" max="9" width="14.81640625" customWidth="1"/>
    <col min="10" max="10" width="16" customWidth="1"/>
    <col min="11" max="11" width="12" customWidth="1"/>
    <col min="12" max="12" width="18" customWidth="1"/>
    <col min="13" max="13" width="14.81640625" customWidth="1"/>
    <col min="14" max="14" width="22" customWidth="1"/>
    <col min="15" max="15" width="16.54296875"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55</v>
      </c>
    </row>
    <row r="2" spans="1:16" x14ac:dyDescent="0.35">
      <c r="A2">
        <v>1002</v>
      </c>
      <c r="B2" s="1">
        <v>45076</v>
      </c>
      <c r="C2" t="s">
        <v>24</v>
      </c>
      <c r="D2" t="s">
        <v>15</v>
      </c>
      <c r="E2" s="4">
        <v>6810.35</v>
      </c>
      <c r="F2">
        <v>17</v>
      </c>
      <c r="G2" t="s">
        <v>16</v>
      </c>
      <c r="H2" s="4">
        <v>4024.76</v>
      </c>
      <c r="I2" s="4">
        <v>4420.1499999999996</v>
      </c>
      <c r="J2" t="s">
        <v>17</v>
      </c>
      <c r="K2" s="2">
        <v>0.04</v>
      </c>
      <c r="L2" t="s">
        <v>18</v>
      </c>
      <c r="M2" t="s">
        <v>19</v>
      </c>
      <c r="N2" t="s">
        <v>45</v>
      </c>
      <c r="O2" s="5">
        <f t="shared" ref="O2:O65" si="0">(I2-H2)*F2</f>
        <v>6721.6299999999901</v>
      </c>
      <c r="P2" t="s">
        <v>54</v>
      </c>
    </row>
    <row r="3" spans="1:16" x14ac:dyDescent="0.35">
      <c r="A3">
        <v>1040</v>
      </c>
      <c r="B3" s="1">
        <v>44995</v>
      </c>
      <c r="C3" t="s">
        <v>33</v>
      </c>
      <c r="D3" t="s">
        <v>34</v>
      </c>
      <c r="E3" s="4">
        <v>2331.27</v>
      </c>
      <c r="F3">
        <v>13</v>
      </c>
      <c r="G3" t="s">
        <v>29</v>
      </c>
      <c r="H3" s="4">
        <v>2750.18</v>
      </c>
      <c r="I3" s="4">
        <v>2882.85</v>
      </c>
      <c r="J3" t="s">
        <v>17</v>
      </c>
      <c r="K3" s="2">
        <v>0.24</v>
      </c>
      <c r="L3" t="s">
        <v>31</v>
      </c>
      <c r="M3" t="s">
        <v>19</v>
      </c>
      <c r="N3" t="s">
        <v>36</v>
      </c>
      <c r="O3" s="5">
        <f t="shared" si="0"/>
        <v>1724.7100000000009</v>
      </c>
    </row>
    <row r="4" spans="1:16" x14ac:dyDescent="0.35">
      <c r="A4">
        <v>1052</v>
      </c>
      <c r="B4" s="1">
        <v>45282</v>
      </c>
      <c r="C4" t="s">
        <v>33</v>
      </c>
      <c r="D4" t="s">
        <v>21</v>
      </c>
      <c r="E4" s="4">
        <v>9509.5499999999993</v>
      </c>
      <c r="F4">
        <v>2</v>
      </c>
      <c r="G4" t="s">
        <v>16</v>
      </c>
      <c r="H4" s="4">
        <v>3752.68</v>
      </c>
      <c r="I4" s="4">
        <v>4017.91</v>
      </c>
      <c r="J4" t="s">
        <v>17</v>
      </c>
      <c r="K4" s="2">
        <v>0.16</v>
      </c>
      <c r="L4" t="s">
        <v>27</v>
      </c>
      <c r="M4" t="s">
        <v>19</v>
      </c>
      <c r="N4" t="s">
        <v>37</v>
      </c>
      <c r="O4" s="5">
        <f t="shared" si="0"/>
        <v>530.46</v>
      </c>
    </row>
    <row r="5" spans="1:16" x14ac:dyDescent="0.35">
      <c r="A5">
        <v>1012</v>
      </c>
      <c r="B5" s="1">
        <v>45244</v>
      </c>
      <c r="C5" t="s">
        <v>38</v>
      </c>
      <c r="D5" t="s">
        <v>15</v>
      </c>
      <c r="E5" s="4">
        <v>519.98</v>
      </c>
      <c r="F5">
        <v>6</v>
      </c>
      <c r="G5" t="s">
        <v>29</v>
      </c>
      <c r="H5" s="4">
        <v>3609.42</v>
      </c>
      <c r="I5" s="4">
        <v>4082.62</v>
      </c>
      <c r="J5" t="s">
        <v>17</v>
      </c>
      <c r="K5" s="2">
        <v>0.3</v>
      </c>
      <c r="L5" t="s">
        <v>27</v>
      </c>
      <c r="M5" t="s">
        <v>22</v>
      </c>
      <c r="N5" t="s">
        <v>40</v>
      </c>
      <c r="O5" s="5">
        <f t="shared" si="0"/>
        <v>2839.1999999999989</v>
      </c>
    </row>
    <row r="6" spans="1:16" x14ac:dyDescent="0.35">
      <c r="A6">
        <v>1020</v>
      </c>
      <c r="B6" s="1">
        <v>45175</v>
      </c>
      <c r="C6" t="s">
        <v>33</v>
      </c>
      <c r="D6" t="s">
        <v>34</v>
      </c>
      <c r="E6" s="4">
        <v>9705.5499999999993</v>
      </c>
      <c r="F6">
        <v>4</v>
      </c>
      <c r="G6" t="s">
        <v>29</v>
      </c>
      <c r="H6" s="4">
        <v>3730</v>
      </c>
      <c r="I6" s="4">
        <v>3893.6</v>
      </c>
      <c r="J6" t="s">
        <v>30</v>
      </c>
      <c r="K6" s="2">
        <v>0.25</v>
      </c>
      <c r="L6" t="s">
        <v>27</v>
      </c>
      <c r="M6" t="s">
        <v>22</v>
      </c>
      <c r="N6" t="s">
        <v>36</v>
      </c>
      <c r="O6" s="5">
        <f t="shared" si="0"/>
        <v>654.39999999999964</v>
      </c>
    </row>
    <row r="7" spans="1:16" x14ac:dyDescent="0.35">
      <c r="A7">
        <v>1092</v>
      </c>
      <c r="B7" s="1">
        <v>45094</v>
      </c>
      <c r="C7" t="s">
        <v>42</v>
      </c>
      <c r="D7" t="s">
        <v>34</v>
      </c>
      <c r="E7" s="4">
        <v>1632.8</v>
      </c>
      <c r="F7">
        <v>47</v>
      </c>
      <c r="G7" t="s">
        <v>16</v>
      </c>
      <c r="H7" s="4">
        <v>1447.45</v>
      </c>
      <c r="I7" s="4">
        <v>1703.02</v>
      </c>
      <c r="J7" t="s">
        <v>17</v>
      </c>
      <c r="K7" s="2">
        <v>0.12</v>
      </c>
      <c r="L7" t="s">
        <v>27</v>
      </c>
      <c r="M7" t="s">
        <v>22</v>
      </c>
      <c r="N7" t="s">
        <v>52</v>
      </c>
      <c r="O7" s="5">
        <f t="shared" si="0"/>
        <v>12011.789999999997</v>
      </c>
    </row>
    <row r="8" spans="1:16" x14ac:dyDescent="0.35">
      <c r="A8">
        <v>1040</v>
      </c>
      <c r="B8" s="1">
        <v>44995</v>
      </c>
      <c r="C8" t="s">
        <v>42</v>
      </c>
      <c r="D8" t="s">
        <v>34</v>
      </c>
      <c r="E8" s="4">
        <v>1004.78</v>
      </c>
      <c r="F8">
        <v>42</v>
      </c>
      <c r="G8" t="s">
        <v>35</v>
      </c>
      <c r="H8" s="4">
        <v>4205.29</v>
      </c>
      <c r="I8" s="4">
        <v>4382.3500000000004</v>
      </c>
      <c r="J8" t="s">
        <v>30</v>
      </c>
      <c r="K8" s="2">
        <v>0.25</v>
      </c>
      <c r="L8" t="s">
        <v>18</v>
      </c>
      <c r="M8" t="s">
        <v>22</v>
      </c>
      <c r="N8" t="s">
        <v>52</v>
      </c>
      <c r="O8" s="5">
        <f t="shared" si="0"/>
        <v>7436.5200000000168</v>
      </c>
    </row>
    <row r="9" spans="1:16" x14ac:dyDescent="0.35">
      <c r="A9">
        <v>1092</v>
      </c>
      <c r="B9" s="1">
        <v>45094</v>
      </c>
      <c r="C9" t="s">
        <v>24</v>
      </c>
      <c r="D9" t="s">
        <v>34</v>
      </c>
      <c r="E9" s="4">
        <v>862.02</v>
      </c>
      <c r="F9">
        <v>21</v>
      </c>
      <c r="G9" t="s">
        <v>29</v>
      </c>
      <c r="H9" s="4">
        <v>2792.2</v>
      </c>
      <c r="I9" s="4">
        <v>3254.5499999999902</v>
      </c>
      <c r="J9" t="s">
        <v>30</v>
      </c>
      <c r="K9" s="2">
        <v>0.02</v>
      </c>
      <c r="L9" t="s">
        <v>31</v>
      </c>
      <c r="M9" t="s">
        <v>22</v>
      </c>
      <c r="N9" t="s">
        <v>50</v>
      </c>
      <c r="O9" s="5">
        <f t="shared" si="0"/>
        <v>9709.3499999997985</v>
      </c>
    </row>
    <row r="10" spans="1:16" x14ac:dyDescent="0.35">
      <c r="A10">
        <v>1020</v>
      </c>
      <c r="B10" s="1">
        <v>45175</v>
      </c>
      <c r="C10" t="s">
        <v>14</v>
      </c>
      <c r="D10" t="s">
        <v>34</v>
      </c>
      <c r="E10" s="4">
        <v>1958.45</v>
      </c>
      <c r="F10">
        <v>45</v>
      </c>
      <c r="G10" t="s">
        <v>29</v>
      </c>
      <c r="H10" s="4">
        <v>2188.4499999999998</v>
      </c>
      <c r="I10" s="4">
        <v>2255.0499999999902</v>
      </c>
      <c r="J10" t="s">
        <v>30</v>
      </c>
      <c r="K10" s="2">
        <v>0.11</v>
      </c>
      <c r="L10" t="s">
        <v>27</v>
      </c>
      <c r="M10" t="s">
        <v>22</v>
      </c>
      <c r="N10" t="s">
        <v>46</v>
      </c>
      <c r="O10" s="5">
        <f t="shared" si="0"/>
        <v>2996.9999999995662</v>
      </c>
    </row>
    <row r="11" spans="1:16" x14ac:dyDescent="0.35">
      <c r="A11">
        <v>1012</v>
      </c>
      <c r="B11" s="1">
        <v>45244</v>
      </c>
      <c r="C11" t="s">
        <v>24</v>
      </c>
      <c r="D11" t="s">
        <v>15</v>
      </c>
      <c r="E11" s="4">
        <v>4976.43</v>
      </c>
      <c r="F11">
        <v>14</v>
      </c>
      <c r="G11" t="s">
        <v>35</v>
      </c>
      <c r="H11" s="4">
        <v>1185.5</v>
      </c>
      <c r="I11" s="4">
        <v>1271.45</v>
      </c>
      <c r="J11" t="s">
        <v>17</v>
      </c>
      <c r="K11" s="2">
        <v>0.03</v>
      </c>
      <c r="L11" t="s">
        <v>27</v>
      </c>
      <c r="M11" t="s">
        <v>22</v>
      </c>
      <c r="N11" t="s">
        <v>45</v>
      </c>
      <c r="O11" s="5">
        <f t="shared" si="0"/>
        <v>1203.3000000000006</v>
      </c>
    </row>
    <row r="12" spans="1:16" x14ac:dyDescent="0.35">
      <c r="A12">
        <v>1052</v>
      </c>
      <c r="B12" s="1">
        <v>45282</v>
      </c>
      <c r="C12" t="s">
        <v>33</v>
      </c>
      <c r="D12" t="s">
        <v>21</v>
      </c>
      <c r="E12" s="4">
        <v>2858.57</v>
      </c>
      <c r="F12">
        <v>18</v>
      </c>
      <c r="G12" t="s">
        <v>26</v>
      </c>
      <c r="H12" s="4">
        <v>1127.8599999999999</v>
      </c>
      <c r="I12" s="4">
        <v>1586.29</v>
      </c>
      <c r="J12" t="s">
        <v>30</v>
      </c>
      <c r="K12" s="2">
        <v>0.04</v>
      </c>
      <c r="L12" t="s">
        <v>31</v>
      </c>
      <c r="M12" t="s">
        <v>19</v>
      </c>
      <c r="N12" t="s">
        <v>37</v>
      </c>
      <c r="O12" s="5">
        <f t="shared" si="0"/>
        <v>8251.7400000000016</v>
      </c>
    </row>
    <row r="13" spans="1:16" x14ac:dyDescent="0.35">
      <c r="A13">
        <v>1002</v>
      </c>
      <c r="B13" s="1">
        <v>45076</v>
      </c>
      <c r="C13" t="s">
        <v>38</v>
      </c>
      <c r="D13" t="s">
        <v>15</v>
      </c>
      <c r="E13" s="4">
        <v>3737.17</v>
      </c>
      <c r="F13">
        <v>44</v>
      </c>
      <c r="G13" t="s">
        <v>16</v>
      </c>
      <c r="H13" s="4">
        <v>1393.58</v>
      </c>
      <c r="I13" s="4">
        <v>1533.09</v>
      </c>
      <c r="J13" t="s">
        <v>17</v>
      </c>
      <c r="K13" s="2">
        <v>0.24</v>
      </c>
      <c r="L13" t="s">
        <v>31</v>
      </c>
      <c r="M13" t="s">
        <v>22</v>
      </c>
      <c r="N13" t="s">
        <v>40</v>
      </c>
      <c r="O13" s="5">
        <f t="shared" si="0"/>
        <v>6138.44</v>
      </c>
    </row>
    <row r="14" spans="1:16" x14ac:dyDescent="0.35">
      <c r="A14">
        <v>1052</v>
      </c>
      <c r="B14" s="1">
        <v>44960</v>
      </c>
      <c r="C14" t="s">
        <v>14</v>
      </c>
      <c r="D14" t="s">
        <v>15</v>
      </c>
      <c r="E14" s="4">
        <v>5053.97</v>
      </c>
      <c r="F14">
        <v>18</v>
      </c>
      <c r="G14" t="s">
        <v>16</v>
      </c>
      <c r="H14" s="4">
        <v>152.75</v>
      </c>
      <c r="I14" s="4">
        <v>267.22000000000003</v>
      </c>
      <c r="J14" t="s">
        <v>17</v>
      </c>
      <c r="K14" s="2">
        <v>0.09</v>
      </c>
      <c r="L14" t="s">
        <v>18</v>
      </c>
      <c r="M14" t="s">
        <v>19</v>
      </c>
      <c r="N14" t="s">
        <v>20</v>
      </c>
      <c r="O14" s="5">
        <f t="shared" si="0"/>
        <v>2060.4600000000005</v>
      </c>
    </row>
    <row r="15" spans="1:16" x14ac:dyDescent="0.35">
      <c r="A15">
        <v>1093</v>
      </c>
      <c r="B15" s="1">
        <v>45037</v>
      </c>
      <c r="C15" t="s">
        <v>14</v>
      </c>
      <c r="D15" t="s">
        <v>21</v>
      </c>
      <c r="E15" s="4">
        <v>4384.0200000000004</v>
      </c>
      <c r="F15">
        <v>17</v>
      </c>
      <c r="G15" t="s">
        <v>16</v>
      </c>
      <c r="H15" s="4">
        <v>3816.39</v>
      </c>
      <c r="I15" s="4">
        <v>4209.4399999999996</v>
      </c>
      <c r="J15" t="s">
        <v>17</v>
      </c>
      <c r="K15" s="2">
        <v>0.11</v>
      </c>
      <c r="L15" t="s">
        <v>18</v>
      </c>
      <c r="M15" t="s">
        <v>22</v>
      </c>
      <c r="N15" t="s">
        <v>23</v>
      </c>
      <c r="O15" s="5">
        <f t="shared" si="0"/>
        <v>6681.8499999999949</v>
      </c>
    </row>
    <row r="16" spans="1:16" x14ac:dyDescent="0.35">
      <c r="A16">
        <v>1015</v>
      </c>
      <c r="B16" s="1">
        <v>45190</v>
      </c>
      <c r="C16" t="s">
        <v>24</v>
      </c>
      <c r="D16" t="s">
        <v>25</v>
      </c>
      <c r="E16" s="4">
        <v>4631.2299999999996</v>
      </c>
      <c r="F16">
        <v>30</v>
      </c>
      <c r="G16" t="s">
        <v>26</v>
      </c>
      <c r="H16" s="4">
        <v>261.56</v>
      </c>
      <c r="I16" s="4">
        <v>371.4</v>
      </c>
      <c r="J16" t="s">
        <v>17</v>
      </c>
      <c r="K16" s="2">
        <v>0.2</v>
      </c>
      <c r="L16" t="s">
        <v>27</v>
      </c>
      <c r="M16" t="s">
        <v>22</v>
      </c>
      <c r="N16" t="s">
        <v>28</v>
      </c>
      <c r="O16" s="5">
        <f t="shared" si="0"/>
        <v>3295.1999999999994</v>
      </c>
    </row>
    <row r="17" spans="1:15" x14ac:dyDescent="0.35">
      <c r="A17">
        <v>1072</v>
      </c>
      <c r="B17" s="1">
        <v>45162</v>
      </c>
      <c r="C17" t="s">
        <v>14</v>
      </c>
      <c r="D17" t="s">
        <v>25</v>
      </c>
      <c r="E17" s="4">
        <v>2167.94</v>
      </c>
      <c r="F17">
        <v>39</v>
      </c>
      <c r="G17" t="s">
        <v>29</v>
      </c>
      <c r="H17" s="4">
        <v>4330.03</v>
      </c>
      <c r="I17" s="4">
        <v>4467.75</v>
      </c>
      <c r="J17" t="s">
        <v>30</v>
      </c>
      <c r="K17" s="2">
        <v>0.02</v>
      </c>
      <c r="L17" t="s">
        <v>31</v>
      </c>
      <c r="M17" t="s">
        <v>22</v>
      </c>
      <c r="N17" t="s">
        <v>32</v>
      </c>
      <c r="O17" s="5">
        <f t="shared" si="0"/>
        <v>5371.0800000000099</v>
      </c>
    </row>
    <row r="18" spans="1:15" x14ac:dyDescent="0.35">
      <c r="A18">
        <v>1061</v>
      </c>
      <c r="B18" s="1">
        <v>45009</v>
      </c>
      <c r="C18" t="s">
        <v>33</v>
      </c>
      <c r="D18" t="s">
        <v>34</v>
      </c>
      <c r="E18" s="4">
        <v>3750.2</v>
      </c>
      <c r="F18">
        <v>13</v>
      </c>
      <c r="G18" t="s">
        <v>35</v>
      </c>
      <c r="H18" s="4">
        <v>637.37</v>
      </c>
      <c r="I18" s="4">
        <v>692.71</v>
      </c>
      <c r="J18" t="s">
        <v>30</v>
      </c>
      <c r="K18" s="2">
        <v>0.08</v>
      </c>
      <c r="L18" t="s">
        <v>31</v>
      </c>
      <c r="M18" t="s">
        <v>19</v>
      </c>
      <c r="N18" t="s">
        <v>36</v>
      </c>
      <c r="O18" s="5">
        <f t="shared" si="0"/>
        <v>719.42000000000041</v>
      </c>
    </row>
    <row r="19" spans="1:15" x14ac:dyDescent="0.35">
      <c r="A19">
        <v>1021</v>
      </c>
      <c r="B19" s="1">
        <v>44968</v>
      </c>
      <c r="C19" t="s">
        <v>33</v>
      </c>
      <c r="D19" t="s">
        <v>21</v>
      </c>
      <c r="E19" s="4">
        <v>3761.15</v>
      </c>
      <c r="F19">
        <v>32</v>
      </c>
      <c r="G19" t="s">
        <v>26</v>
      </c>
      <c r="H19" s="4">
        <v>900.79</v>
      </c>
      <c r="I19" s="4">
        <v>1106.51</v>
      </c>
      <c r="J19" t="s">
        <v>30</v>
      </c>
      <c r="K19" s="2">
        <v>0.21</v>
      </c>
      <c r="L19" t="s">
        <v>18</v>
      </c>
      <c r="M19" t="s">
        <v>19</v>
      </c>
      <c r="N19" t="s">
        <v>37</v>
      </c>
      <c r="O19" s="5">
        <f t="shared" si="0"/>
        <v>6583.0400000000009</v>
      </c>
    </row>
    <row r="20" spans="1:15" x14ac:dyDescent="0.35">
      <c r="A20">
        <v>1083</v>
      </c>
      <c r="B20" s="1">
        <v>45027</v>
      </c>
      <c r="C20" t="s">
        <v>14</v>
      </c>
      <c r="D20" t="s">
        <v>21</v>
      </c>
      <c r="E20" s="4">
        <v>618.30999999999995</v>
      </c>
      <c r="F20">
        <v>29</v>
      </c>
      <c r="G20" t="s">
        <v>16</v>
      </c>
      <c r="H20" s="4">
        <v>2408.81</v>
      </c>
      <c r="I20" s="4">
        <v>2624.09</v>
      </c>
      <c r="J20" t="s">
        <v>17</v>
      </c>
      <c r="K20" s="2">
        <v>0.14000000000000001</v>
      </c>
      <c r="L20" t="s">
        <v>18</v>
      </c>
      <c r="M20" t="s">
        <v>19</v>
      </c>
      <c r="N20" t="s">
        <v>23</v>
      </c>
      <c r="O20" s="5">
        <f t="shared" si="0"/>
        <v>6243.1200000000063</v>
      </c>
    </row>
    <row r="21" spans="1:15" x14ac:dyDescent="0.35">
      <c r="A21">
        <v>1087</v>
      </c>
      <c r="B21" s="1">
        <v>44932</v>
      </c>
      <c r="C21" t="s">
        <v>38</v>
      </c>
      <c r="D21" t="s">
        <v>25</v>
      </c>
      <c r="E21" s="4">
        <v>7698.92</v>
      </c>
      <c r="F21">
        <v>46</v>
      </c>
      <c r="G21" t="s">
        <v>16</v>
      </c>
      <c r="H21" s="4">
        <v>3702.51</v>
      </c>
      <c r="I21" s="4">
        <v>3964.65</v>
      </c>
      <c r="J21" t="s">
        <v>30</v>
      </c>
      <c r="K21" s="2">
        <v>0.12</v>
      </c>
      <c r="L21" t="s">
        <v>27</v>
      </c>
      <c r="M21" t="s">
        <v>19</v>
      </c>
      <c r="N21" t="s">
        <v>39</v>
      </c>
      <c r="O21" s="5">
        <f t="shared" si="0"/>
        <v>12058.439999999995</v>
      </c>
    </row>
    <row r="22" spans="1:15" x14ac:dyDescent="0.35">
      <c r="A22">
        <v>1075</v>
      </c>
      <c r="B22" s="1">
        <v>45106</v>
      </c>
      <c r="C22" t="s">
        <v>24</v>
      </c>
      <c r="D22" t="s">
        <v>25</v>
      </c>
      <c r="E22" s="4">
        <v>4223.3900000000003</v>
      </c>
      <c r="F22">
        <v>30</v>
      </c>
      <c r="G22" t="s">
        <v>16</v>
      </c>
      <c r="H22" s="4">
        <v>738.06</v>
      </c>
      <c r="I22" s="4">
        <v>1095.44999999999</v>
      </c>
      <c r="J22" t="s">
        <v>30</v>
      </c>
      <c r="K22" s="2">
        <v>0.05</v>
      </c>
      <c r="L22" t="s">
        <v>27</v>
      </c>
      <c r="M22" t="s">
        <v>19</v>
      </c>
      <c r="N22" t="s">
        <v>28</v>
      </c>
      <c r="O22" s="5">
        <f t="shared" si="0"/>
        <v>10721.699999999702</v>
      </c>
    </row>
    <row r="23" spans="1:15" x14ac:dyDescent="0.35">
      <c r="A23">
        <v>1075</v>
      </c>
      <c r="B23" s="1">
        <v>45208</v>
      </c>
      <c r="C23" t="s">
        <v>33</v>
      </c>
      <c r="D23" t="s">
        <v>21</v>
      </c>
      <c r="E23" s="4">
        <v>8239.58</v>
      </c>
      <c r="F23">
        <v>18</v>
      </c>
      <c r="G23" t="s">
        <v>29</v>
      </c>
      <c r="H23" s="4">
        <v>2228.35</v>
      </c>
      <c r="I23" s="4">
        <v>2682.34</v>
      </c>
      <c r="J23" t="s">
        <v>30</v>
      </c>
      <c r="K23" s="2">
        <v>0.13</v>
      </c>
      <c r="L23" t="s">
        <v>27</v>
      </c>
      <c r="M23" t="s">
        <v>19</v>
      </c>
      <c r="N23" t="s">
        <v>37</v>
      </c>
      <c r="O23" s="5">
        <f t="shared" si="0"/>
        <v>8171.8200000000043</v>
      </c>
    </row>
    <row r="24" spans="1:15" x14ac:dyDescent="0.35">
      <c r="A24">
        <v>1088</v>
      </c>
      <c r="B24" s="1">
        <v>45246</v>
      </c>
      <c r="C24" t="s">
        <v>38</v>
      </c>
      <c r="D24" t="s">
        <v>15</v>
      </c>
      <c r="E24" s="4">
        <v>8518.4500000000007</v>
      </c>
      <c r="F24">
        <v>13</v>
      </c>
      <c r="G24" t="s">
        <v>16</v>
      </c>
      <c r="H24" s="4">
        <v>2440.11</v>
      </c>
      <c r="I24" s="4">
        <v>2517.6</v>
      </c>
      <c r="J24" t="s">
        <v>30</v>
      </c>
      <c r="K24" s="2">
        <v>0.23</v>
      </c>
      <c r="L24" t="s">
        <v>27</v>
      </c>
      <c r="M24" t="s">
        <v>22</v>
      </c>
      <c r="N24" t="s">
        <v>40</v>
      </c>
      <c r="O24" s="5">
        <f t="shared" si="0"/>
        <v>1007.3699999999972</v>
      </c>
    </row>
    <row r="25" spans="1:15" x14ac:dyDescent="0.35">
      <c r="A25">
        <v>1100</v>
      </c>
      <c r="B25" s="1">
        <v>45152</v>
      </c>
      <c r="C25" t="s">
        <v>14</v>
      </c>
      <c r="D25" t="s">
        <v>21</v>
      </c>
      <c r="E25" s="4">
        <v>2198.7399999999998</v>
      </c>
      <c r="F25">
        <v>43</v>
      </c>
      <c r="G25" t="s">
        <v>26</v>
      </c>
      <c r="H25" s="4">
        <v>1100.81</v>
      </c>
      <c r="I25" s="4">
        <v>1137.44</v>
      </c>
      <c r="J25" t="s">
        <v>17</v>
      </c>
      <c r="K25" s="2">
        <v>0.08</v>
      </c>
      <c r="L25" t="s">
        <v>27</v>
      </c>
      <c r="M25" t="s">
        <v>19</v>
      </c>
      <c r="N25" t="s">
        <v>23</v>
      </c>
      <c r="O25" s="5">
        <f t="shared" si="0"/>
        <v>1575.0900000000047</v>
      </c>
    </row>
    <row r="26" spans="1:15" x14ac:dyDescent="0.35">
      <c r="A26">
        <v>1024</v>
      </c>
      <c r="B26" s="1">
        <v>45241</v>
      </c>
      <c r="C26" t="s">
        <v>38</v>
      </c>
      <c r="D26" t="s">
        <v>21</v>
      </c>
      <c r="E26" s="4">
        <v>6607.8</v>
      </c>
      <c r="F26">
        <v>21</v>
      </c>
      <c r="G26" t="s">
        <v>26</v>
      </c>
      <c r="H26" s="4">
        <v>622.01</v>
      </c>
      <c r="I26" s="4">
        <v>641.09</v>
      </c>
      <c r="J26" t="s">
        <v>17</v>
      </c>
      <c r="K26" s="2">
        <v>0</v>
      </c>
      <c r="L26" t="s">
        <v>27</v>
      </c>
      <c r="M26" t="s">
        <v>22</v>
      </c>
      <c r="N26" t="s">
        <v>41</v>
      </c>
      <c r="O26" s="5">
        <f t="shared" si="0"/>
        <v>400.68000000000086</v>
      </c>
    </row>
    <row r="27" spans="1:15" x14ac:dyDescent="0.35">
      <c r="A27">
        <v>1003</v>
      </c>
      <c r="B27" s="1">
        <v>45291</v>
      </c>
      <c r="C27" t="s">
        <v>42</v>
      </c>
      <c r="D27" t="s">
        <v>25</v>
      </c>
      <c r="E27" s="4">
        <v>4775.59</v>
      </c>
      <c r="F27">
        <v>30</v>
      </c>
      <c r="G27" t="s">
        <v>16</v>
      </c>
      <c r="H27" s="4">
        <v>4190.28</v>
      </c>
      <c r="I27" s="4">
        <v>4270.6499999999996</v>
      </c>
      <c r="J27" t="s">
        <v>30</v>
      </c>
      <c r="K27" s="2">
        <v>0.2</v>
      </c>
      <c r="L27" t="s">
        <v>18</v>
      </c>
      <c r="M27" t="s">
        <v>19</v>
      </c>
      <c r="N27" t="s">
        <v>43</v>
      </c>
      <c r="O27" s="5">
        <f t="shared" si="0"/>
        <v>2411.0999999999967</v>
      </c>
    </row>
    <row r="28" spans="1:15" x14ac:dyDescent="0.35">
      <c r="A28">
        <v>1022</v>
      </c>
      <c r="B28" s="1">
        <v>45155</v>
      </c>
      <c r="C28" t="s">
        <v>33</v>
      </c>
      <c r="D28" t="s">
        <v>25</v>
      </c>
      <c r="E28" s="4">
        <v>8813.5499999999993</v>
      </c>
      <c r="F28">
        <v>21</v>
      </c>
      <c r="G28" t="s">
        <v>26</v>
      </c>
      <c r="H28" s="4">
        <v>2537.1999999999998</v>
      </c>
      <c r="I28" s="4">
        <v>2869.6</v>
      </c>
      <c r="J28" t="s">
        <v>30</v>
      </c>
      <c r="K28" s="2">
        <v>0.28999999999999998</v>
      </c>
      <c r="L28" t="s">
        <v>27</v>
      </c>
      <c r="M28" t="s">
        <v>22</v>
      </c>
      <c r="N28" t="s">
        <v>44</v>
      </c>
      <c r="O28" s="5">
        <f t="shared" si="0"/>
        <v>6980.4000000000015</v>
      </c>
    </row>
    <row r="29" spans="1:15" x14ac:dyDescent="0.35">
      <c r="A29">
        <v>1053</v>
      </c>
      <c r="B29" s="1">
        <v>45215</v>
      </c>
      <c r="C29" t="s">
        <v>14</v>
      </c>
      <c r="D29" t="s">
        <v>15</v>
      </c>
      <c r="E29" s="4">
        <v>2235.83</v>
      </c>
      <c r="F29">
        <v>48</v>
      </c>
      <c r="G29" t="s">
        <v>16</v>
      </c>
      <c r="H29" s="4">
        <v>121.19</v>
      </c>
      <c r="I29" s="4">
        <v>487.65</v>
      </c>
      <c r="J29" t="s">
        <v>30</v>
      </c>
      <c r="K29" s="2">
        <v>0.18</v>
      </c>
      <c r="L29" t="s">
        <v>18</v>
      </c>
      <c r="M29" t="s">
        <v>22</v>
      </c>
      <c r="N29" t="s">
        <v>20</v>
      </c>
      <c r="O29" s="5">
        <f t="shared" si="0"/>
        <v>17590.079999999998</v>
      </c>
    </row>
    <row r="30" spans="1:15" x14ac:dyDescent="0.35">
      <c r="A30">
        <v>1088</v>
      </c>
      <c r="B30" s="1">
        <v>45203</v>
      </c>
      <c r="C30" t="s">
        <v>14</v>
      </c>
      <c r="D30" t="s">
        <v>34</v>
      </c>
      <c r="E30" s="4">
        <v>6116.75</v>
      </c>
      <c r="F30">
        <v>40</v>
      </c>
      <c r="G30" t="s">
        <v>35</v>
      </c>
      <c r="H30" s="4">
        <v>4904.93</v>
      </c>
      <c r="I30" s="4">
        <v>5034.3500000000004</v>
      </c>
      <c r="J30" t="s">
        <v>30</v>
      </c>
      <c r="K30" s="2">
        <v>0.1</v>
      </c>
      <c r="L30" t="s">
        <v>31</v>
      </c>
      <c r="M30" t="s">
        <v>22</v>
      </c>
      <c r="N30" t="s">
        <v>46</v>
      </c>
      <c r="O30" s="5">
        <f t="shared" si="0"/>
        <v>5176.8000000000029</v>
      </c>
    </row>
    <row r="31" spans="1:15" x14ac:dyDescent="0.35">
      <c r="A31">
        <v>1030</v>
      </c>
      <c r="B31" s="1">
        <v>45124</v>
      </c>
      <c r="C31" t="s">
        <v>24</v>
      </c>
      <c r="D31" t="s">
        <v>21</v>
      </c>
      <c r="E31" s="4">
        <v>3023.48</v>
      </c>
      <c r="F31">
        <v>19</v>
      </c>
      <c r="G31" t="s">
        <v>29</v>
      </c>
      <c r="H31" s="4">
        <v>3049.33</v>
      </c>
      <c r="I31" s="4">
        <v>3209.22</v>
      </c>
      <c r="J31" t="s">
        <v>17</v>
      </c>
      <c r="K31" s="2">
        <v>0.26</v>
      </c>
      <c r="L31" t="s">
        <v>18</v>
      </c>
      <c r="M31" t="s">
        <v>19</v>
      </c>
      <c r="N31" t="s">
        <v>47</v>
      </c>
      <c r="O31" s="5">
        <f t="shared" si="0"/>
        <v>3037.9099999999976</v>
      </c>
    </row>
    <row r="32" spans="1:15" x14ac:dyDescent="0.35">
      <c r="A32">
        <v>1038</v>
      </c>
      <c r="B32" s="1">
        <v>44996</v>
      </c>
      <c r="C32" t="s">
        <v>14</v>
      </c>
      <c r="D32" t="s">
        <v>25</v>
      </c>
      <c r="E32" s="4">
        <v>1452.35</v>
      </c>
      <c r="F32">
        <v>15</v>
      </c>
      <c r="G32" t="s">
        <v>29</v>
      </c>
      <c r="H32" s="4">
        <v>2543.36</v>
      </c>
      <c r="I32" s="4">
        <v>2790.1</v>
      </c>
      <c r="J32" t="s">
        <v>17</v>
      </c>
      <c r="K32" s="2">
        <v>7.0000000000000007E-2</v>
      </c>
      <c r="L32" t="s">
        <v>18</v>
      </c>
      <c r="M32" t="s">
        <v>19</v>
      </c>
      <c r="N32" t="s">
        <v>32</v>
      </c>
      <c r="O32" s="5">
        <f t="shared" si="0"/>
        <v>3701.0999999999967</v>
      </c>
    </row>
    <row r="33" spans="1:15" x14ac:dyDescent="0.35">
      <c r="A33">
        <v>1002</v>
      </c>
      <c r="B33" s="1">
        <v>45038</v>
      </c>
      <c r="C33" t="s">
        <v>38</v>
      </c>
      <c r="D33" t="s">
        <v>15</v>
      </c>
      <c r="E33" s="4">
        <v>6551.23</v>
      </c>
      <c r="F33">
        <v>9</v>
      </c>
      <c r="G33" t="s">
        <v>35</v>
      </c>
      <c r="H33" s="4">
        <v>4398.16</v>
      </c>
      <c r="I33" s="4">
        <v>4439.12</v>
      </c>
      <c r="J33" t="s">
        <v>30</v>
      </c>
      <c r="K33" s="2">
        <v>0.18</v>
      </c>
      <c r="L33" t="s">
        <v>27</v>
      </c>
      <c r="M33" t="s">
        <v>19</v>
      </c>
      <c r="N33" t="s">
        <v>40</v>
      </c>
      <c r="O33" s="5">
        <f t="shared" si="0"/>
        <v>368.64000000000033</v>
      </c>
    </row>
    <row r="34" spans="1:15" x14ac:dyDescent="0.35">
      <c r="A34">
        <v>1064</v>
      </c>
      <c r="B34" s="1">
        <v>44930</v>
      </c>
      <c r="C34" t="s">
        <v>38</v>
      </c>
      <c r="D34" t="s">
        <v>34</v>
      </c>
      <c r="E34" s="4">
        <v>7412.11</v>
      </c>
      <c r="F34">
        <v>10</v>
      </c>
      <c r="G34" t="s">
        <v>35</v>
      </c>
      <c r="H34" s="4">
        <v>4764.96</v>
      </c>
      <c r="I34" s="4">
        <v>5074.42</v>
      </c>
      <c r="J34" t="s">
        <v>30</v>
      </c>
      <c r="K34" s="2">
        <v>0.12</v>
      </c>
      <c r="L34" t="s">
        <v>18</v>
      </c>
      <c r="M34" t="s">
        <v>19</v>
      </c>
      <c r="N34" t="s">
        <v>48</v>
      </c>
      <c r="O34" s="5">
        <f t="shared" si="0"/>
        <v>3094.6000000000004</v>
      </c>
    </row>
    <row r="35" spans="1:15" x14ac:dyDescent="0.35">
      <c r="A35">
        <v>1060</v>
      </c>
      <c r="B35" s="1">
        <v>45276</v>
      </c>
      <c r="C35" t="s">
        <v>38</v>
      </c>
      <c r="D35" t="s">
        <v>34</v>
      </c>
      <c r="E35" s="4">
        <v>3224.71</v>
      </c>
      <c r="F35">
        <v>44</v>
      </c>
      <c r="G35" t="s">
        <v>29</v>
      </c>
      <c r="H35" s="4">
        <v>3784.96</v>
      </c>
      <c r="I35" s="4">
        <v>4276.99</v>
      </c>
      <c r="J35" t="s">
        <v>30</v>
      </c>
      <c r="K35" s="2">
        <v>0.06</v>
      </c>
      <c r="L35" t="s">
        <v>27</v>
      </c>
      <c r="M35" t="s">
        <v>22</v>
      </c>
      <c r="N35" t="s">
        <v>48</v>
      </c>
      <c r="O35" s="5">
        <f t="shared" si="0"/>
        <v>21649.319999999989</v>
      </c>
    </row>
    <row r="36" spans="1:15" x14ac:dyDescent="0.35">
      <c r="A36">
        <v>1021</v>
      </c>
      <c r="B36" s="1">
        <v>45257</v>
      </c>
      <c r="C36" t="s">
        <v>42</v>
      </c>
      <c r="D36" t="s">
        <v>25</v>
      </c>
      <c r="E36" s="4">
        <v>6483.84</v>
      </c>
      <c r="F36">
        <v>31</v>
      </c>
      <c r="G36" t="s">
        <v>16</v>
      </c>
      <c r="H36" s="4">
        <v>2254.9899999999998</v>
      </c>
      <c r="I36" s="4">
        <v>2441.79</v>
      </c>
      <c r="J36" t="s">
        <v>17</v>
      </c>
      <c r="K36" s="2">
        <v>0.24</v>
      </c>
      <c r="L36" t="s">
        <v>27</v>
      </c>
      <c r="M36" t="s">
        <v>19</v>
      </c>
      <c r="N36" t="s">
        <v>43</v>
      </c>
      <c r="O36" s="5">
        <f t="shared" si="0"/>
        <v>5790.8000000000056</v>
      </c>
    </row>
    <row r="37" spans="1:15" x14ac:dyDescent="0.35">
      <c r="A37">
        <v>1033</v>
      </c>
      <c r="B37" s="1">
        <v>45244</v>
      </c>
      <c r="C37" t="s">
        <v>24</v>
      </c>
      <c r="D37" t="s">
        <v>25</v>
      </c>
      <c r="E37" s="4">
        <v>4011.8</v>
      </c>
      <c r="F37">
        <v>23</v>
      </c>
      <c r="G37" t="s">
        <v>16</v>
      </c>
      <c r="H37" s="4">
        <v>2981.5</v>
      </c>
      <c r="I37" s="4">
        <v>3360.4</v>
      </c>
      <c r="J37" t="s">
        <v>17</v>
      </c>
      <c r="K37" s="2">
        <v>0.22</v>
      </c>
      <c r="L37" t="s">
        <v>27</v>
      </c>
      <c r="M37" t="s">
        <v>22</v>
      </c>
      <c r="N37" t="s">
        <v>28</v>
      </c>
      <c r="O37" s="5">
        <f t="shared" si="0"/>
        <v>8714.7000000000025</v>
      </c>
    </row>
    <row r="38" spans="1:15" x14ac:dyDescent="0.35">
      <c r="A38">
        <v>1076</v>
      </c>
      <c r="B38" s="1">
        <v>45276</v>
      </c>
      <c r="C38" t="s">
        <v>38</v>
      </c>
      <c r="D38" t="s">
        <v>34</v>
      </c>
      <c r="E38" s="4">
        <v>7160.75</v>
      </c>
      <c r="F38">
        <v>30</v>
      </c>
      <c r="G38" t="s">
        <v>29</v>
      </c>
      <c r="H38" s="4">
        <v>3519.63</v>
      </c>
      <c r="I38" s="4">
        <v>3774.65</v>
      </c>
      <c r="J38" t="s">
        <v>30</v>
      </c>
      <c r="K38" s="2">
        <v>0.2</v>
      </c>
      <c r="L38" t="s">
        <v>31</v>
      </c>
      <c r="M38" t="s">
        <v>22</v>
      </c>
      <c r="N38" t="s">
        <v>48</v>
      </c>
      <c r="O38" s="5">
        <f t="shared" si="0"/>
        <v>7650.5999999999995</v>
      </c>
    </row>
    <row r="39" spans="1:15" x14ac:dyDescent="0.35">
      <c r="A39">
        <v>1058</v>
      </c>
      <c r="B39" s="1">
        <v>45021</v>
      </c>
      <c r="C39" t="s">
        <v>42</v>
      </c>
      <c r="D39" t="s">
        <v>15</v>
      </c>
      <c r="E39" s="4">
        <v>2072.23</v>
      </c>
      <c r="F39">
        <v>33</v>
      </c>
      <c r="G39" t="s">
        <v>16</v>
      </c>
      <c r="H39" s="4">
        <v>1011.65</v>
      </c>
      <c r="I39" s="4">
        <v>1084.28</v>
      </c>
      <c r="J39" t="s">
        <v>17</v>
      </c>
      <c r="K39" s="2">
        <v>7.0000000000000007E-2</v>
      </c>
      <c r="L39" t="s">
        <v>27</v>
      </c>
      <c r="M39" t="s">
        <v>22</v>
      </c>
      <c r="N39" t="s">
        <v>49</v>
      </c>
      <c r="O39" s="5">
        <f t="shared" si="0"/>
        <v>2396.79</v>
      </c>
    </row>
    <row r="40" spans="1:15" x14ac:dyDescent="0.35">
      <c r="A40">
        <v>1022</v>
      </c>
      <c r="B40" s="1">
        <v>45078</v>
      </c>
      <c r="C40" t="s">
        <v>24</v>
      </c>
      <c r="D40" t="s">
        <v>34</v>
      </c>
      <c r="E40" s="4">
        <v>8913.1299999999992</v>
      </c>
      <c r="F40">
        <v>9</v>
      </c>
      <c r="G40" t="s">
        <v>35</v>
      </c>
      <c r="H40" s="4">
        <v>2263.65</v>
      </c>
      <c r="I40" s="4">
        <v>2558.9499999999998</v>
      </c>
      <c r="J40" t="s">
        <v>30</v>
      </c>
      <c r="K40" s="2">
        <v>0.03</v>
      </c>
      <c r="L40" t="s">
        <v>18</v>
      </c>
      <c r="M40" t="s">
        <v>19</v>
      </c>
      <c r="N40" t="s">
        <v>50</v>
      </c>
      <c r="O40" s="5">
        <f t="shared" si="0"/>
        <v>2657.6999999999975</v>
      </c>
    </row>
    <row r="41" spans="1:15" x14ac:dyDescent="0.35">
      <c r="A41">
        <v>1089</v>
      </c>
      <c r="B41" s="1">
        <v>45237</v>
      </c>
      <c r="C41" t="s">
        <v>14</v>
      </c>
      <c r="D41" t="s">
        <v>21</v>
      </c>
      <c r="E41" s="4">
        <v>2945.36</v>
      </c>
      <c r="F41">
        <v>47</v>
      </c>
      <c r="G41" t="s">
        <v>16</v>
      </c>
      <c r="H41" s="4">
        <v>4157.62</v>
      </c>
      <c r="I41" s="4">
        <v>4314.5599999999904</v>
      </c>
      <c r="J41" t="s">
        <v>30</v>
      </c>
      <c r="K41" s="2">
        <v>0.17</v>
      </c>
      <c r="L41" t="s">
        <v>27</v>
      </c>
      <c r="M41" t="s">
        <v>22</v>
      </c>
      <c r="N41" t="s">
        <v>23</v>
      </c>
      <c r="O41" s="5">
        <f t="shared" si="0"/>
        <v>7376.1799999995537</v>
      </c>
    </row>
    <row r="42" spans="1:15" x14ac:dyDescent="0.35">
      <c r="A42">
        <v>1049</v>
      </c>
      <c r="B42" s="1">
        <v>45063</v>
      </c>
      <c r="C42" t="s">
        <v>42</v>
      </c>
      <c r="D42" t="s">
        <v>21</v>
      </c>
      <c r="E42" s="4">
        <v>3741.08</v>
      </c>
      <c r="F42">
        <v>1</v>
      </c>
      <c r="G42" t="s">
        <v>16</v>
      </c>
      <c r="H42" s="4">
        <v>3290.89</v>
      </c>
      <c r="I42" s="4">
        <v>3317.75</v>
      </c>
      <c r="J42" t="s">
        <v>17</v>
      </c>
      <c r="K42" s="2">
        <v>0.17</v>
      </c>
      <c r="L42" t="s">
        <v>27</v>
      </c>
      <c r="M42" t="s">
        <v>19</v>
      </c>
      <c r="N42" t="s">
        <v>51</v>
      </c>
      <c r="O42" s="5">
        <f t="shared" si="0"/>
        <v>26.860000000000127</v>
      </c>
    </row>
    <row r="43" spans="1:15" x14ac:dyDescent="0.35">
      <c r="A43">
        <v>1091</v>
      </c>
      <c r="B43" s="1">
        <v>45173</v>
      </c>
      <c r="C43" t="s">
        <v>33</v>
      </c>
      <c r="D43" t="s">
        <v>25</v>
      </c>
      <c r="E43" s="4">
        <v>675.11</v>
      </c>
      <c r="F43">
        <v>44</v>
      </c>
      <c r="G43" t="s">
        <v>26</v>
      </c>
      <c r="H43" s="4">
        <v>2085.46</v>
      </c>
      <c r="I43" s="4">
        <v>2406.58</v>
      </c>
      <c r="J43" t="s">
        <v>17</v>
      </c>
      <c r="K43" s="2">
        <v>0.06</v>
      </c>
      <c r="L43" t="s">
        <v>27</v>
      </c>
      <c r="M43" t="s">
        <v>22</v>
      </c>
      <c r="N43" t="s">
        <v>44</v>
      </c>
      <c r="O43" s="5">
        <f t="shared" si="0"/>
        <v>14129.279999999995</v>
      </c>
    </row>
    <row r="44" spans="1:15" x14ac:dyDescent="0.35">
      <c r="A44">
        <v>1059</v>
      </c>
      <c r="B44" s="1">
        <v>45169</v>
      </c>
      <c r="C44" t="s">
        <v>42</v>
      </c>
      <c r="D44" t="s">
        <v>15</v>
      </c>
      <c r="E44" s="4">
        <v>1203.97</v>
      </c>
      <c r="F44">
        <v>35</v>
      </c>
      <c r="G44" t="s">
        <v>26</v>
      </c>
      <c r="H44" s="4">
        <v>3333.64</v>
      </c>
      <c r="I44" s="4">
        <v>3764.52</v>
      </c>
      <c r="J44" t="s">
        <v>17</v>
      </c>
      <c r="K44" s="2">
        <v>0.02</v>
      </c>
      <c r="L44" t="s">
        <v>31</v>
      </c>
      <c r="M44" t="s">
        <v>19</v>
      </c>
      <c r="N44" t="s">
        <v>49</v>
      </c>
      <c r="O44" s="5">
        <f t="shared" si="0"/>
        <v>15080.800000000003</v>
      </c>
    </row>
    <row r="45" spans="1:15" x14ac:dyDescent="0.35">
      <c r="A45">
        <v>1042</v>
      </c>
      <c r="B45" s="1">
        <v>44957</v>
      </c>
      <c r="C45" t="s">
        <v>42</v>
      </c>
      <c r="D45" t="s">
        <v>15</v>
      </c>
      <c r="E45" s="4">
        <v>5207.03</v>
      </c>
      <c r="F45">
        <v>11</v>
      </c>
      <c r="G45" t="s">
        <v>26</v>
      </c>
      <c r="H45" s="4">
        <v>635.20000000000005</v>
      </c>
      <c r="I45" s="4">
        <v>814.14</v>
      </c>
      <c r="J45" t="s">
        <v>17</v>
      </c>
      <c r="K45" s="2">
        <v>0.02</v>
      </c>
      <c r="L45" t="s">
        <v>18</v>
      </c>
      <c r="M45" t="s">
        <v>19</v>
      </c>
      <c r="N45" t="s">
        <v>49</v>
      </c>
      <c r="O45" s="5">
        <f t="shared" si="0"/>
        <v>1968.3399999999992</v>
      </c>
    </row>
    <row r="46" spans="1:15" x14ac:dyDescent="0.35">
      <c r="A46">
        <v>1092</v>
      </c>
      <c r="B46" s="1">
        <v>44966</v>
      </c>
      <c r="C46" t="s">
        <v>24</v>
      </c>
      <c r="D46" t="s">
        <v>21</v>
      </c>
      <c r="E46" s="4">
        <v>2749.17</v>
      </c>
      <c r="F46">
        <v>34</v>
      </c>
      <c r="G46" t="s">
        <v>16</v>
      </c>
      <c r="H46" s="4">
        <v>2037.41</v>
      </c>
      <c r="I46" s="4">
        <v>2238.65</v>
      </c>
      <c r="J46" t="s">
        <v>30</v>
      </c>
      <c r="K46" s="2">
        <v>0.3</v>
      </c>
      <c r="L46" t="s">
        <v>31</v>
      </c>
      <c r="M46" t="s">
        <v>19</v>
      </c>
      <c r="N46" t="s">
        <v>47</v>
      </c>
      <c r="O46" s="5">
        <f t="shared" si="0"/>
        <v>6842.16</v>
      </c>
    </row>
    <row r="47" spans="1:15" x14ac:dyDescent="0.35">
      <c r="A47">
        <v>1060</v>
      </c>
      <c r="B47" s="1">
        <v>45155</v>
      </c>
      <c r="C47" t="s">
        <v>14</v>
      </c>
      <c r="D47" t="s">
        <v>34</v>
      </c>
      <c r="E47" s="4">
        <v>8371.25</v>
      </c>
      <c r="F47">
        <v>16</v>
      </c>
      <c r="G47" t="s">
        <v>29</v>
      </c>
      <c r="H47" s="4">
        <v>3975.99</v>
      </c>
      <c r="I47" s="4">
        <v>4422.59</v>
      </c>
      <c r="J47" t="s">
        <v>30</v>
      </c>
      <c r="K47" s="2">
        <v>0.24</v>
      </c>
      <c r="L47" t="s">
        <v>18</v>
      </c>
      <c r="M47" t="s">
        <v>19</v>
      </c>
      <c r="N47" t="s">
        <v>46</v>
      </c>
      <c r="O47" s="5">
        <f t="shared" si="0"/>
        <v>7145.6000000000058</v>
      </c>
    </row>
    <row r="48" spans="1:15" x14ac:dyDescent="0.35">
      <c r="A48">
        <v>1080</v>
      </c>
      <c r="B48" s="1">
        <v>44962</v>
      </c>
      <c r="C48" t="s">
        <v>33</v>
      </c>
      <c r="D48" t="s">
        <v>25</v>
      </c>
      <c r="E48" s="4">
        <v>245.46</v>
      </c>
      <c r="F48">
        <v>9</v>
      </c>
      <c r="G48" t="s">
        <v>35</v>
      </c>
      <c r="H48" s="4">
        <v>1141.52</v>
      </c>
      <c r="I48" s="4">
        <v>1550.19</v>
      </c>
      <c r="J48" t="s">
        <v>30</v>
      </c>
      <c r="K48" s="2">
        <v>0.28000000000000003</v>
      </c>
      <c r="L48" t="s">
        <v>31</v>
      </c>
      <c r="M48" t="s">
        <v>22</v>
      </c>
      <c r="N48" t="s">
        <v>44</v>
      </c>
      <c r="O48" s="5">
        <f t="shared" si="0"/>
        <v>3678.0300000000007</v>
      </c>
    </row>
    <row r="49" spans="1:15" x14ac:dyDescent="0.35">
      <c r="A49">
        <v>1015</v>
      </c>
      <c r="B49" s="1">
        <v>45149</v>
      </c>
      <c r="C49" t="s">
        <v>38</v>
      </c>
      <c r="D49" t="s">
        <v>34</v>
      </c>
      <c r="E49" s="4">
        <v>3853.03</v>
      </c>
      <c r="F49">
        <v>32</v>
      </c>
      <c r="G49" t="s">
        <v>16</v>
      </c>
      <c r="H49" s="4">
        <v>970.51</v>
      </c>
      <c r="I49" s="4">
        <v>1330.84</v>
      </c>
      <c r="J49" t="s">
        <v>17</v>
      </c>
      <c r="K49" s="2">
        <v>0.06</v>
      </c>
      <c r="L49" t="s">
        <v>18</v>
      </c>
      <c r="M49" t="s">
        <v>22</v>
      </c>
      <c r="N49" t="s">
        <v>48</v>
      </c>
      <c r="O49" s="5">
        <f t="shared" si="0"/>
        <v>11530.559999999998</v>
      </c>
    </row>
    <row r="50" spans="1:15" x14ac:dyDescent="0.35">
      <c r="A50">
        <v>1062</v>
      </c>
      <c r="B50" s="1">
        <v>44932</v>
      </c>
      <c r="C50" t="s">
        <v>38</v>
      </c>
      <c r="D50" t="s">
        <v>34</v>
      </c>
      <c r="E50" s="4">
        <v>3439.72</v>
      </c>
      <c r="F50">
        <v>15</v>
      </c>
      <c r="G50" t="s">
        <v>29</v>
      </c>
      <c r="H50" s="4">
        <v>4756.55</v>
      </c>
      <c r="I50" s="4">
        <v>4888.46</v>
      </c>
      <c r="J50" t="s">
        <v>30</v>
      </c>
      <c r="K50" s="2">
        <v>0.28999999999999998</v>
      </c>
      <c r="L50" t="s">
        <v>31</v>
      </c>
      <c r="M50" t="s">
        <v>19</v>
      </c>
      <c r="N50" t="s">
        <v>48</v>
      </c>
      <c r="O50" s="5">
        <f t="shared" si="0"/>
        <v>1978.6499999999978</v>
      </c>
    </row>
    <row r="51" spans="1:15" x14ac:dyDescent="0.35">
      <c r="A51">
        <v>1062</v>
      </c>
      <c r="B51" s="1">
        <v>45248</v>
      </c>
      <c r="C51" t="s">
        <v>42</v>
      </c>
      <c r="D51" t="s">
        <v>34</v>
      </c>
      <c r="E51" s="4">
        <v>291.33999999999997</v>
      </c>
      <c r="F51">
        <v>12</v>
      </c>
      <c r="G51" t="s">
        <v>16</v>
      </c>
      <c r="H51" s="4">
        <v>1088.99</v>
      </c>
      <c r="I51" s="4">
        <v>1545</v>
      </c>
      <c r="J51" t="s">
        <v>17</v>
      </c>
      <c r="K51" s="2">
        <v>0.04</v>
      </c>
      <c r="L51" t="s">
        <v>27</v>
      </c>
      <c r="M51" t="s">
        <v>22</v>
      </c>
      <c r="N51" t="s">
        <v>52</v>
      </c>
      <c r="O51" s="5">
        <f t="shared" si="0"/>
        <v>5472.12</v>
      </c>
    </row>
    <row r="52" spans="1:15" x14ac:dyDescent="0.35">
      <c r="A52">
        <v>1047</v>
      </c>
      <c r="B52" s="1">
        <v>45146</v>
      </c>
      <c r="C52" t="s">
        <v>24</v>
      </c>
      <c r="D52" t="s">
        <v>15</v>
      </c>
      <c r="E52" s="4">
        <v>1331.25</v>
      </c>
      <c r="F52">
        <v>33</v>
      </c>
      <c r="G52" t="s">
        <v>35</v>
      </c>
      <c r="H52" s="4">
        <v>1341.55</v>
      </c>
      <c r="I52" s="4">
        <v>1427.21</v>
      </c>
      <c r="J52" t="s">
        <v>17</v>
      </c>
      <c r="K52" s="2">
        <v>0.15</v>
      </c>
      <c r="L52" t="s">
        <v>31</v>
      </c>
      <c r="M52" t="s">
        <v>19</v>
      </c>
      <c r="N52" t="s">
        <v>45</v>
      </c>
      <c r="O52" s="5">
        <f t="shared" si="0"/>
        <v>2826.7800000000025</v>
      </c>
    </row>
    <row r="53" spans="1:15" x14ac:dyDescent="0.35">
      <c r="A53">
        <v>1062</v>
      </c>
      <c r="B53" s="1">
        <v>45001</v>
      </c>
      <c r="C53" t="s">
        <v>24</v>
      </c>
      <c r="D53" t="s">
        <v>21</v>
      </c>
      <c r="E53" s="4">
        <v>4195.0600000000004</v>
      </c>
      <c r="F53">
        <v>45</v>
      </c>
      <c r="G53" t="s">
        <v>16</v>
      </c>
      <c r="H53" s="4">
        <v>4849.6000000000004</v>
      </c>
      <c r="I53" s="4">
        <v>5166.72</v>
      </c>
      <c r="J53" t="s">
        <v>17</v>
      </c>
      <c r="K53" s="2">
        <v>0.25</v>
      </c>
      <c r="L53" t="s">
        <v>31</v>
      </c>
      <c r="M53" t="s">
        <v>19</v>
      </c>
      <c r="N53" t="s">
        <v>47</v>
      </c>
      <c r="O53" s="5">
        <f t="shared" si="0"/>
        <v>14270.399999999994</v>
      </c>
    </row>
    <row r="54" spans="1:15" x14ac:dyDescent="0.35">
      <c r="A54">
        <v>1051</v>
      </c>
      <c r="B54" s="1">
        <v>44930</v>
      </c>
      <c r="C54" t="s">
        <v>38</v>
      </c>
      <c r="D54" t="s">
        <v>15</v>
      </c>
      <c r="E54" s="4">
        <v>4979.3599999999997</v>
      </c>
      <c r="F54">
        <v>14</v>
      </c>
      <c r="G54" t="s">
        <v>35</v>
      </c>
      <c r="H54" s="4">
        <v>3686.81</v>
      </c>
      <c r="I54" s="4">
        <v>3710.92</v>
      </c>
      <c r="J54" t="s">
        <v>30</v>
      </c>
      <c r="K54" s="2">
        <v>0.1</v>
      </c>
      <c r="L54" t="s">
        <v>27</v>
      </c>
      <c r="M54" t="s">
        <v>22</v>
      </c>
      <c r="N54" t="s">
        <v>40</v>
      </c>
      <c r="O54" s="5">
        <f t="shared" si="0"/>
        <v>337.54000000000178</v>
      </c>
    </row>
    <row r="55" spans="1:15" x14ac:dyDescent="0.35">
      <c r="A55">
        <v>1055</v>
      </c>
      <c r="B55" s="1">
        <v>45261</v>
      </c>
      <c r="C55" t="s">
        <v>33</v>
      </c>
      <c r="D55" t="s">
        <v>21</v>
      </c>
      <c r="E55" s="4">
        <v>4102.47</v>
      </c>
      <c r="F55">
        <v>8</v>
      </c>
      <c r="G55" t="s">
        <v>16</v>
      </c>
      <c r="H55" s="4">
        <v>3513</v>
      </c>
      <c r="I55" s="4">
        <v>3838.42</v>
      </c>
      <c r="J55" t="s">
        <v>17</v>
      </c>
      <c r="K55" s="2">
        <v>0.13</v>
      </c>
      <c r="L55" t="s">
        <v>27</v>
      </c>
      <c r="M55" t="s">
        <v>19</v>
      </c>
      <c r="N55" t="s">
        <v>37</v>
      </c>
      <c r="O55" s="5">
        <f t="shared" si="0"/>
        <v>2603.3600000000006</v>
      </c>
    </row>
    <row r="56" spans="1:15" x14ac:dyDescent="0.35">
      <c r="A56">
        <v>1064</v>
      </c>
      <c r="B56" s="1">
        <v>45060</v>
      </c>
      <c r="C56" t="s">
        <v>14</v>
      </c>
      <c r="D56" t="s">
        <v>25</v>
      </c>
      <c r="E56" s="4">
        <v>5356.28</v>
      </c>
      <c r="F56">
        <v>8</v>
      </c>
      <c r="G56" t="s">
        <v>35</v>
      </c>
      <c r="H56" s="4">
        <v>4271.99</v>
      </c>
      <c r="I56" s="4">
        <v>4417.79</v>
      </c>
      <c r="J56" t="s">
        <v>17</v>
      </c>
      <c r="K56" s="2">
        <v>0.04</v>
      </c>
      <c r="L56" t="s">
        <v>18</v>
      </c>
      <c r="M56" t="s">
        <v>19</v>
      </c>
      <c r="N56" t="s">
        <v>32</v>
      </c>
      <c r="O56" s="5">
        <f t="shared" si="0"/>
        <v>1166.4000000000015</v>
      </c>
    </row>
    <row r="57" spans="1:15" x14ac:dyDescent="0.35">
      <c r="A57">
        <v>1003</v>
      </c>
      <c r="B57" s="1">
        <v>45044</v>
      </c>
      <c r="C57" t="s">
        <v>33</v>
      </c>
      <c r="D57" t="s">
        <v>25</v>
      </c>
      <c r="E57" s="4">
        <v>5991.8</v>
      </c>
      <c r="F57">
        <v>27</v>
      </c>
      <c r="G57" t="s">
        <v>16</v>
      </c>
      <c r="H57" s="4">
        <v>623.32000000000005</v>
      </c>
      <c r="I57" s="4">
        <v>853.66</v>
      </c>
      <c r="J57" t="s">
        <v>17</v>
      </c>
      <c r="K57" s="2">
        <v>0.04</v>
      </c>
      <c r="L57" t="s">
        <v>18</v>
      </c>
      <c r="M57" t="s">
        <v>19</v>
      </c>
      <c r="N57" t="s">
        <v>44</v>
      </c>
      <c r="O57" s="5">
        <f t="shared" si="0"/>
        <v>6219.1799999999976</v>
      </c>
    </row>
    <row r="58" spans="1:15" x14ac:dyDescent="0.35">
      <c r="A58">
        <v>1051</v>
      </c>
      <c r="B58" s="1">
        <v>45020</v>
      </c>
      <c r="C58" t="s">
        <v>14</v>
      </c>
      <c r="D58" t="s">
        <v>34</v>
      </c>
      <c r="E58" s="4">
        <v>198.25</v>
      </c>
      <c r="F58">
        <v>12</v>
      </c>
      <c r="G58" t="s">
        <v>35</v>
      </c>
      <c r="H58" s="4">
        <v>3544.48</v>
      </c>
      <c r="I58" s="4">
        <v>3723.66</v>
      </c>
      <c r="J58" t="s">
        <v>17</v>
      </c>
      <c r="K58" s="2">
        <v>0.19</v>
      </c>
      <c r="L58" t="s">
        <v>18</v>
      </c>
      <c r="M58" t="s">
        <v>19</v>
      </c>
      <c r="N58" t="s">
        <v>46</v>
      </c>
      <c r="O58" s="5">
        <f t="shared" si="0"/>
        <v>2150.159999999998</v>
      </c>
    </row>
    <row r="59" spans="1:15" x14ac:dyDescent="0.35">
      <c r="A59">
        <v>1007</v>
      </c>
      <c r="B59" s="1">
        <v>44988</v>
      </c>
      <c r="C59" t="s">
        <v>38</v>
      </c>
      <c r="D59" t="s">
        <v>21</v>
      </c>
      <c r="E59" s="4">
        <v>4694.54</v>
      </c>
      <c r="F59">
        <v>1</v>
      </c>
      <c r="G59" t="s">
        <v>26</v>
      </c>
      <c r="H59" s="4">
        <v>2543.2600000000002</v>
      </c>
      <c r="I59" s="4">
        <v>2637.91</v>
      </c>
      <c r="J59" t="s">
        <v>17</v>
      </c>
      <c r="K59" s="2">
        <v>0.2</v>
      </c>
      <c r="L59" t="s">
        <v>31</v>
      </c>
      <c r="M59" t="s">
        <v>19</v>
      </c>
      <c r="N59" t="s">
        <v>41</v>
      </c>
      <c r="O59" s="5">
        <f t="shared" si="0"/>
        <v>94.649999999999636</v>
      </c>
    </row>
    <row r="60" spans="1:15" x14ac:dyDescent="0.35">
      <c r="A60">
        <v>1021</v>
      </c>
      <c r="B60" s="1">
        <v>45120</v>
      </c>
      <c r="C60" t="s">
        <v>14</v>
      </c>
      <c r="D60" t="s">
        <v>21</v>
      </c>
      <c r="E60" s="4">
        <v>9638.64</v>
      </c>
      <c r="F60">
        <v>43</v>
      </c>
      <c r="G60" t="s">
        <v>16</v>
      </c>
      <c r="H60" s="4">
        <v>4154.3</v>
      </c>
      <c r="I60" s="4">
        <v>4469.07</v>
      </c>
      <c r="J60" t="s">
        <v>17</v>
      </c>
      <c r="K60" s="2">
        <v>0.23</v>
      </c>
      <c r="L60" t="s">
        <v>18</v>
      </c>
      <c r="M60" t="s">
        <v>22</v>
      </c>
      <c r="N60" t="s">
        <v>23</v>
      </c>
      <c r="O60" s="5">
        <f t="shared" si="0"/>
        <v>13535.109999999979</v>
      </c>
    </row>
    <row r="61" spans="1:15" x14ac:dyDescent="0.35">
      <c r="A61">
        <v>1073</v>
      </c>
      <c r="B61" s="1">
        <v>45261</v>
      </c>
      <c r="C61" t="s">
        <v>24</v>
      </c>
      <c r="D61" t="s">
        <v>21</v>
      </c>
      <c r="E61" s="4">
        <v>5238.42</v>
      </c>
      <c r="F61">
        <v>40</v>
      </c>
      <c r="G61" t="s">
        <v>16</v>
      </c>
      <c r="H61" s="4">
        <v>2565.3000000000002</v>
      </c>
      <c r="I61" s="4">
        <v>3007.47</v>
      </c>
      <c r="J61" t="s">
        <v>17</v>
      </c>
      <c r="K61" s="2">
        <v>0.17</v>
      </c>
      <c r="L61" t="s">
        <v>31</v>
      </c>
      <c r="M61" t="s">
        <v>22</v>
      </c>
      <c r="N61" t="s">
        <v>47</v>
      </c>
      <c r="O61" s="5">
        <f t="shared" si="0"/>
        <v>17686.799999999985</v>
      </c>
    </row>
    <row r="62" spans="1:15" x14ac:dyDescent="0.35">
      <c r="A62">
        <v>1039</v>
      </c>
      <c r="B62" s="1">
        <v>45129</v>
      </c>
      <c r="C62" t="s">
        <v>42</v>
      </c>
      <c r="D62" t="s">
        <v>34</v>
      </c>
      <c r="E62" s="4">
        <v>6807.67</v>
      </c>
      <c r="F62">
        <v>42</v>
      </c>
      <c r="G62" t="s">
        <v>29</v>
      </c>
      <c r="H62" s="4">
        <v>3120.19</v>
      </c>
      <c r="I62" s="4">
        <v>3600.14</v>
      </c>
      <c r="J62" t="s">
        <v>17</v>
      </c>
      <c r="K62" s="2">
        <v>0.19</v>
      </c>
      <c r="L62" t="s">
        <v>31</v>
      </c>
      <c r="M62" t="s">
        <v>22</v>
      </c>
      <c r="N62" t="s">
        <v>52</v>
      </c>
      <c r="O62" s="5">
        <f t="shared" si="0"/>
        <v>20157.899999999994</v>
      </c>
    </row>
    <row r="63" spans="1:15" x14ac:dyDescent="0.35">
      <c r="A63">
        <v>1018</v>
      </c>
      <c r="B63" s="1">
        <v>44952</v>
      </c>
      <c r="C63" t="s">
        <v>42</v>
      </c>
      <c r="D63" t="s">
        <v>34</v>
      </c>
      <c r="E63" s="4">
        <v>3187.45</v>
      </c>
      <c r="F63">
        <v>11</v>
      </c>
      <c r="G63" t="s">
        <v>29</v>
      </c>
      <c r="H63" s="4">
        <v>2414.8200000000002</v>
      </c>
      <c r="I63" s="4">
        <v>2519.0700000000002</v>
      </c>
      <c r="J63" t="s">
        <v>17</v>
      </c>
      <c r="K63" s="2">
        <v>0</v>
      </c>
      <c r="L63" t="s">
        <v>18</v>
      </c>
      <c r="M63" t="s">
        <v>19</v>
      </c>
      <c r="N63" t="s">
        <v>52</v>
      </c>
      <c r="O63" s="5">
        <f t="shared" si="0"/>
        <v>1146.75</v>
      </c>
    </row>
    <row r="64" spans="1:15" x14ac:dyDescent="0.35">
      <c r="A64">
        <v>1004</v>
      </c>
      <c r="B64" s="1">
        <v>45099</v>
      </c>
      <c r="C64" t="s">
        <v>38</v>
      </c>
      <c r="D64" t="s">
        <v>25</v>
      </c>
      <c r="E64" s="4">
        <v>7762.51</v>
      </c>
      <c r="F64">
        <v>39</v>
      </c>
      <c r="G64" t="s">
        <v>35</v>
      </c>
      <c r="H64" s="4">
        <v>2416.89</v>
      </c>
      <c r="I64" s="4">
        <v>2778.3999999999901</v>
      </c>
      <c r="J64" t="s">
        <v>17</v>
      </c>
      <c r="K64" s="2">
        <v>0.05</v>
      </c>
      <c r="L64" t="s">
        <v>18</v>
      </c>
      <c r="M64" t="s">
        <v>19</v>
      </c>
      <c r="N64" t="s">
        <v>39</v>
      </c>
      <c r="O64" s="5">
        <f t="shared" si="0"/>
        <v>14098.889999999617</v>
      </c>
    </row>
    <row r="65" spans="1:15" x14ac:dyDescent="0.35">
      <c r="A65">
        <v>1089</v>
      </c>
      <c r="B65" s="1">
        <v>45226</v>
      </c>
      <c r="C65" t="s">
        <v>24</v>
      </c>
      <c r="D65" t="s">
        <v>15</v>
      </c>
      <c r="E65" s="4">
        <v>7751.92</v>
      </c>
      <c r="F65">
        <v>43</v>
      </c>
      <c r="G65" t="s">
        <v>16</v>
      </c>
      <c r="H65" s="4">
        <v>3851.45</v>
      </c>
      <c r="I65" s="4">
        <v>4186.9799999999996</v>
      </c>
      <c r="J65" t="s">
        <v>17</v>
      </c>
      <c r="K65" s="2">
        <v>0.3</v>
      </c>
      <c r="L65" t="s">
        <v>31</v>
      </c>
      <c r="M65" t="s">
        <v>19</v>
      </c>
      <c r="N65" t="s">
        <v>45</v>
      </c>
      <c r="O65" s="5">
        <f t="shared" si="0"/>
        <v>14427.78999999999</v>
      </c>
    </row>
    <row r="66" spans="1:15" x14ac:dyDescent="0.35">
      <c r="A66">
        <v>1060</v>
      </c>
      <c r="B66" s="1">
        <v>45059</v>
      </c>
      <c r="C66" t="s">
        <v>33</v>
      </c>
      <c r="D66" t="s">
        <v>21</v>
      </c>
      <c r="E66" s="4">
        <v>5260.83</v>
      </c>
      <c r="F66">
        <v>31</v>
      </c>
      <c r="G66" t="s">
        <v>35</v>
      </c>
      <c r="H66" s="4">
        <v>3161.4</v>
      </c>
      <c r="I66" s="4">
        <v>3339.66</v>
      </c>
      <c r="J66" t="s">
        <v>17</v>
      </c>
      <c r="K66" s="2">
        <v>0.02</v>
      </c>
      <c r="L66" t="s">
        <v>27</v>
      </c>
      <c r="M66" t="s">
        <v>19</v>
      </c>
      <c r="N66" t="s">
        <v>37</v>
      </c>
      <c r="O66" s="5">
        <f t="shared" ref="O66:O129" si="1">(I66-H66)*F66</f>
        <v>5526.0599999999922</v>
      </c>
    </row>
    <row r="67" spans="1:15" x14ac:dyDescent="0.35">
      <c r="A67">
        <v>1014</v>
      </c>
      <c r="B67" s="1">
        <v>45252</v>
      </c>
      <c r="C67" t="s">
        <v>24</v>
      </c>
      <c r="D67" t="s">
        <v>21</v>
      </c>
      <c r="E67" s="4">
        <v>9762.5400000000009</v>
      </c>
      <c r="F67">
        <v>17</v>
      </c>
      <c r="G67" t="s">
        <v>26</v>
      </c>
      <c r="H67" s="4">
        <v>3184.65</v>
      </c>
      <c r="I67" s="4">
        <v>3204.01</v>
      </c>
      <c r="J67" t="s">
        <v>30</v>
      </c>
      <c r="K67" s="2">
        <v>0.2</v>
      </c>
      <c r="L67" t="s">
        <v>27</v>
      </c>
      <c r="M67" t="s">
        <v>19</v>
      </c>
      <c r="N67" t="s">
        <v>47</v>
      </c>
      <c r="O67" s="5">
        <f t="shared" si="1"/>
        <v>329.12000000000216</v>
      </c>
    </row>
    <row r="68" spans="1:15" x14ac:dyDescent="0.35">
      <c r="A68">
        <v>1009</v>
      </c>
      <c r="B68" s="1">
        <v>45044</v>
      </c>
      <c r="C68" t="s">
        <v>42</v>
      </c>
      <c r="D68" t="s">
        <v>15</v>
      </c>
      <c r="E68" s="4">
        <v>1342.95</v>
      </c>
      <c r="F68">
        <v>33</v>
      </c>
      <c r="G68" t="s">
        <v>29</v>
      </c>
      <c r="H68" s="4">
        <v>2278.9</v>
      </c>
      <c r="I68" s="4">
        <v>2626.9</v>
      </c>
      <c r="J68" t="s">
        <v>30</v>
      </c>
      <c r="K68" s="2">
        <v>0.05</v>
      </c>
      <c r="L68" t="s">
        <v>31</v>
      </c>
      <c r="M68" t="s">
        <v>19</v>
      </c>
      <c r="N68" t="s">
        <v>49</v>
      </c>
      <c r="O68" s="5">
        <f t="shared" si="1"/>
        <v>11484</v>
      </c>
    </row>
    <row r="69" spans="1:15" x14ac:dyDescent="0.35">
      <c r="A69">
        <v>1090</v>
      </c>
      <c r="B69" s="1">
        <v>45250</v>
      </c>
      <c r="C69" t="s">
        <v>42</v>
      </c>
      <c r="D69" t="s">
        <v>21</v>
      </c>
      <c r="E69" s="4">
        <v>267.77999999999997</v>
      </c>
      <c r="F69">
        <v>32</v>
      </c>
      <c r="G69" t="s">
        <v>35</v>
      </c>
      <c r="H69" s="4">
        <v>2678.99</v>
      </c>
      <c r="I69" s="4">
        <v>3152.2799999999902</v>
      </c>
      <c r="J69" t="s">
        <v>17</v>
      </c>
      <c r="K69" s="2">
        <v>0.22</v>
      </c>
      <c r="L69" t="s">
        <v>18</v>
      </c>
      <c r="M69" t="s">
        <v>22</v>
      </c>
      <c r="N69" t="s">
        <v>51</v>
      </c>
      <c r="O69" s="5">
        <f t="shared" si="1"/>
        <v>15145.279999999693</v>
      </c>
    </row>
    <row r="70" spans="1:15" x14ac:dyDescent="0.35">
      <c r="A70">
        <v>1053</v>
      </c>
      <c r="B70" s="1">
        <v>45201</v>
      </c>
      <c r="C70" t="s">
        <v>24</v>
      </c>
      <c r="D70" t="s">
        <v>34</v>
      </c>
      <c r="E70" s="4">
        <v>7724.57</v>
      </c>
      <c r="F70">
        <v>29</v>
      </c>
      <c r="G70" t="s">
        <v>35</v>
      </c>
      <c r="H70" s="4">
        <v>3741.3</v>
      </c>
      <c r="I70" s="4">
        <v>4061.04</v>
      </c>
      <c r="J70" t="s">
        <v>17</v>
      </c>
      <c r="K70" s="2">
        <v>0.21</v>
      </c>
      <c r="L70" t="s">
        <v>31</v>
      </c>
      <c r="M70" t="s">
        <v>19</v>
      </c>
      <c r="N70" t="s">
        <v>50</v>
      </c>
      <c r="O70" s="5">
        <f t="shared" si="1"/>
        <v>9272.4599999999937</v>
      </c>
    </row>
    <row r="71" spans="1:15" x14ac:dyDescent="0.35">
      <c r="A71">
        <v>1002</v>
      </c>
      <c r="B71" s="1">
        <v>45138</v>
      </c>
      <c r="C71" t="s">
        <v>24</v>
      </c>
      <c r="D71" t="s">
        <v>34</v>
      </c>
      <c r="E71" s="4">
        <v>8090.84</v>
      </c>
      <c r="F71">
        <v>21</v>
      </c>
      <c r="G71" t="s">
        <v>29</v>
      </c>
      <c r="H71" s="4">
        <v>4138.41</v>
      </c>
      <c r="I71" s="4">
        <v>4361.7</v>
      </c>
      <c r="J71" t="s">
        <v>17</v>
      </c>
      <c r="K71" s="2">
        <v>7.0000000000000007E-2</v>
      </c>
      <c r="L71" t="s">
        <v>31</v>
      </c>
      <c r="M71" t="s">
        <v>22</v>
      </c>
      <c r="N71" t="s">
        <v>50</v>
      </c>
      <c r="O71" s="5">
        <f t="shared" si="1"/>
        <v>4689.0899999999992</v>
      </c>
    </row>
    <row r="72" spans="1:15" x14ac:dyDescent="0.35">
      <c r="A72">
        <v>1084</v>
      </c>
      <c r="B72" s="1">
        <v>45151</v>
      </c>
      <c r="C72" t="s">
        <v>42</v>
      </c>
      <c r="D72" t="s">
        <v>21</v>
      </c>
      <c r="E72" s="4">
        <v>1290.05</v>
      </c>
      <c r="F72">
        <v>21</v>
      </c>
      <c r="G72" t="s">
        <v>16</v>
      </c>
      <c r="H72" s="4">
        <v>3497.98</v>
      </c>
      <c r="I72" s="4">
        <v>3765.31</v>
      </c>
      <c r="J72" t="s">
        <v>30</v>
      </c>
      <c r="K72" s="2">
        <v>0.08</v>
      </c>
      <c r="L72" t="s">
        <v>18</v>
      </c>
      <c r="M72" t="s">
        <v>19</v>
      </c>
      <c r="N72" t="s">
        <v>51</v>
      </c>
      <c r="O72" s="5">
        <f t="shared" si="1"/>
        <v>5613.9299999999985</v>
      </c>
    </row>
    <row r="73" spans="1:15" x14ac:dyDescent="0.35">
      <c r="A73">
        <v>1092</v>
      </c>
      <c r="B73" s="1">
        <v>44946</v>
      </c>
      <c r="C73" t="s">
        <v>33</v>
      </c>
      <c r="D73" t="s">
        <v>34</v>
      </c>
      <c r="E73" s="4">
        <v>2729.27</v>
      </c>
      <c r="F73">
        <v>40</v>
      </c>
      <c r="G73" t="s">
        <v>35</v>
      </c>
      <c r="H73" s="4">
        <v>4624.16</v>
      </c>
      <c r="I73" s="4">
        <v>4731.9799999999996</v>
      </c>
      <c r="J73" t="s">
        <v>30</v>
      </c>
      <c r="K73" s="2">
        <v>0.2</v>
      </c>
      <c r="L73" t="s">
        <v>27</v>
      </c>
      <c r="M73" t="s">
        <v>22</v>
      </c>
      <c r="N73" t="s">
        <v>36</v>
      </c>
      <c r="O73" s="5">
        <f t="shared" si="1"/>
        <v>4312.7999999999884</v>
      </c>
    </row>
    <row r="74" spans="1:15" x14ac:dyDescent="0.35">
      <c r="A74">
        <v>1060</v>
      </c>
      <c r="B74" s="1">
        <v>45039</v>
      </c>
      <c r="C74" t="s">
        <v>38</v>
      </c>
      <c r="D74" t="s">
        <v>34</v>
      </c>
      <c r="E74" s="4">
        <v>273.77</v>
      </c>
      <c r="F74">
        <v>23</v>
      </c>
      <c r="G74" t="s">
        <v>29</v>
      </c>
      <c r="H74" s="4">
        <v>4110.6000000000004</v>
      </c>
      <c r="I74" s="4">
        <v>4488.37</v>
      </c>
      <c r="J74" t="s">
        <v>30</v>
      </c>
      <c r="K74" s="2">
        <v>0.12</v>
      </c>
      <c r="L74" t="s">
        <v>31</v>
      </c>
      <c r="M74" t="s">
        <v>19</v>
      </c>
      <c r="N74" t="s">
        <v>48</v>
      </c>
      <c r="O74" s="5">
        <f t="shared" si="1"/>
        <v>8688.7099999999882</v>
      </c>
    </row>
    <row r="75" spans="1:15" x14ac:dyDescent="0.35">
      <c r="A75">
        <v>1071</v>
      </c>
      <c r="B75" s="1">
        <v>45066</v>
      </c>
      <c r="C75" t="s">
        <v>38</v>
      </c>
      <c r="D75" t="s">
        <v>21</v>
      </c>
      <c r="E75" s="4">
        <v>3003.76</v>
      </c>
      <c r="F75">
        <v>6</v>
      </c>
      <c r="G75" t="s">
        <v>16</v>
      </c>
      <c r="H75" s="4">
        <v>2831.23</v>
      </c>
      <c r="I75" s="4">
        <v>3206.98</v>
      </c>
      <c r="J75" t="s">
        <v>17</v>
      </c>
      <c r="K75" s="2">
        <v>0.06</v>
      </c>
      <c r="L75" t="s">
        <v>27</v>
      </c>
      <c r="M75" t="s">
        <v>22</v>
      </c>
      <c r="N75" t="s">
        <v>41</v>
      </c>
      <c r="O75" s="5">
        <f t="shared" si="1"/>
        <v>2254.5</v>
      </c>
    </row>
    <row r="76" spans="1:15" x14ac:dyDescent="0.35">
      <c r="A76">
        <v>1044</v>
      </c>
      <c r="B76" s="1">
        <v>44973</v>
      </c>
      <c r="C76" t="s">
        <v>24</v>
      </c>
      <c r="D76" t="s">
        <v>25</v>
      </c>
      <c r="E76" s="4">
        <v>7754.1</v>
      </c>
      <c r="F76">
        <v>22</v>
      </c>
      <c r="G76" t="s">
        <v>26</v>
      </c>
      <c r="H76" s="4">
        <v>3373.46</v>
      </c>
      <c r="I76" s="4">
        <v>3454.76</v>
      </c>
      <c r="J76" t="s">
        <v>17</v>
      </c>
      <c r="K76" s="2">
        <v>0.22</v>
      </c>
      <c r="L76" t="s">
        <v>27</v>
      </c>
      <c r="M76" t="s">
        <v>22</v>
      </c>
      <c r="N76" t="s">
        <v>28</v>
      </c>
      <c r="O76" s="5">
        <f t="shared" si="1"/>
        <v>1788.600000000004</v>
      </c>
    </row>
    <row r="77" spans="1:15" x14ac:dyDescent="0.35">
      <c r="A77">
        <v>1008</v>
      </c>
      <c r="B77" s="1">
        <v>44927</v>
      </c>
      <c r="C77" t="s">
        <v>38</v>
      </c>
      <c r="D77" t="s">
        <v>15</v>
      </c>
      <c r="E77" s="4">
        <v>5227.8100000000004</v>
      </c>
      <c r="F77">
        <v>38</v>
      </c>
      <c r="G77" t="s">
        <v>29</v>
      </c>
      <c r="H77" s="4">
        <v>4635.2299999999996</v>
      </c>
      <c r="I77" s="4">
        <v>5075.4399999999996</v>
      </c>
      <c r="J77" t="s">
        <v>17</v>
      </c>
      <c r="K77" s="2">
        <v>0.05</v>
      </c>
      <c r="L77" t="s">
        <v>18</v>
      </c>
      <c r="M77" t="s">
        <v>19</v>
      </c>
      <c r="N77" t="s">
        <v>40</v>
      </c>
      <c r="O77" s="5">
        <f t="shared" si="1"/>
        <v>16727.980000000003</v>
      </c>
    </row>
    <row r="78" spans="1:15" x14ac:dyDescent="0.35">
      <c r="A78">
        <v>1047</v>
      </c>
      <c r="B78" s="1">
        <v>45016</v>
      </c>
      <c r="C78" t="s">
        <v>42</v>
      </c>
      <c r="D78" t="s">
        <v>34</v>
      </c>
      <c r="E78" s="4">
        <v>3546.15</v>
      </c>
      <c r="F78">
        <v>37</v>
      </c>
      <c r="G78" t="s">
        <v>35</v>
      </c>
      <c r="H78" s="4">
        <v>3114.88</v>
      </c>
      <c r="I78" s="4">
        <v>3256.78</v>
      </c>
      <c r="J78" t="s">
        <v>17</v>
      </c>
      <c r="K78" s="2">
        <v>0.26</v>
      </c>
      <c r="L78" t="s">
        <v>31</v>
      </c>
      <c r="M78" t="s">
        <v>19</v>
      </c>
      <c r="N78" t="s">
        <v>52</v>
      </c>
      <c r="O78" s="5">
        <f t="shared" si="1"/>
        <v>5250.3000000000029</v>
      </c>
    </row>
    <row r="79" spans="1:15" x14ac:dyDescent="0.35">
      <c r="A79">
        <v>1035</v>
      </c>
      <c r="B79" s="1">
        <v>45068</v>
      </c>
      <c r="C79" t="s">
        <v>42</v>
      </c>
      <c r="D79" t="s">
        <v>25</v>
      </c>
      <c r="E79" s="4">
        <v>3780.22</v>
      </c>
      <c r="F79">
        <v>45</v>
      </c>
      <c r="G79" t="s">
        <v>26</v>
      </c>
      <c r="H79" s="4">
        <v>4132.79</v>
      </c>
      <c r="I79" s="4">
        <v>4624.1000000000004</v>
      </c>
      <c r="J79" t="s">
        <v>30</v>
      </c>
      <c r="K79" s="2">
        <v>0.15</v>
      </c>
      <c r="L79" t="s">
        <v>31</v>
      </c>
      <c r="M79" t="s">
        <v>22</v>
      </c>
      <c r="N79" t="s">
        <v>43</v>
      </c>
      <c r="O79" s="5">
        <f t="shared" si="1"/>
        <v>22108.950000000019</v>
      </c>
    </row>
    <row r="80" spans="1:15" x14ac:dyDescent="0.35">
      <c r="A80">
        <v>1078</v>
      </c>
      <c r="B80" s="1">
        <v>45246</v>
      </c>
      <c r="C80" t="s">
        <v>24</v>
      </c>
      <c r="D80" t="s">
        <v>34</v>
      </c>
      <c r="E80" s="4">
        <v>113.4</v>
      </c>
      <c r="F80">
        <v>8</v>
      </c>
      <c r="G80" t="s">
        <v>16</v>
      </c>
      <c r="H80" s="4">
        <v>3459.61</v>
      </c>
      <c r="I80" s="4">
        <v>3657.23</v>
      </c>
      <c r="J80" t="s">
        <v>17</v>
      </c>
      <c r="K80" s="2">
        <v>0.03</v>
      </c>
      <c r="L80" t="s">
        <v>27</v>
      </c>
      <c r="M80" t="s">
        <v>19</v>
      </c>
      <c r="N80" t="s">
        <v>50</v>
      </c>
      <c r="O80" s="5">
        <f t="shared" si="1"/>
        <v>1580.9599999999991</v>
      </c>
    </row>
    <row r="81" spans="1:15" x14ac:dyDescent="0.35">
      <c r="A81">
        <v>1081</v>
      </c>
      <c r="B81" s="1">
        <v>44964</v>
      </c>
      <c r="C81" t="s">
        <v>24</v>
      </c>
      <c r="D81" t="s">
        <v>34</v>
      </c>
      <c r="E81" s="4">
        <v>3068.03</v>
      </c>
      <c r="F81">
        <v>41</v>
      </c>
      <c r="G81" t="s">
        <v>16</v>
      </c>
      <c r="H81" s="4">
        <v>2782.08</v>
      </c>
      <c r="I81" s="4">
        <v>2879.24</v>
      </c>
      <c r="J81" t="s">
        <v>30</v>
      </c>
      <c r="K81" s="2">
        <v>0.21</v>
      </c>
      <c r="L81" t="s">
        <v>27</v>
      </c>
      <c r="M81" t="s">
        <v>19</v>
      </c>
      <c r="N81" t="s">
        <v>50</v>
      </c>
      <c r="O81" s="5">
        <f t="shared" si="1"/>
        <v>3983.559999999994</v>
      </c>
    </row>
    <row r="82" spans="1:15" x14ac:dyDescent="0.35">
      <c r="A82">
        <v>1036</v>
      </c>
      <c r="B82" s="1">
        <v>45219</v>
      </c>
      <c r="C82" t="s">
        <v>24</v>
      </c>
      <c r="D82" t="s">
        <v>15</v>
      </c>
      <c r="E82" s="4">
        <v>6499.94</v>
      </c>
      <c r="F82">
        <v>49</v>
      </c>
      <c r="G82" t="s">
        <v>29</v>
      </c>
      <c r="H82" s="4">
        <v>1247.0999999999999</v>
      </c>
      <c r="I82" s="4">
        <v>1429.4399999999901</v>
      </c>
      <c r="J82" t="s">
        <v>30</v>
      </c>
      <c r="K82" s="2">
        <v>0.16</v>
      </c>
      <c r="L82" t="s">
        <v>18</v>
      </c>
      <c r="M82" t="s">
        <v>19</v>
      </c>
      <c r="N82" t="s">
        <v>45</v>
      </c>
      <c r="O82" s="5">
        <f t="shared" si="1"/>
        <v>8934.659999999516</v>
      </c>
    </row>
    <row r="83" spans="1:15" x14ac:dyDescent="0.35">
      <c r="A83">
        <v>1050</v>
      </c>
      <c r="B83" s="1">
        <v>45065</v>
      </c>
      <c r="C83" t="s">
        <v>33</v>
      </c>
      <c r="D83" t="s">
        <v>34</v>
      </c>
      <c r="E83" s="4">
        <v>9744.52</v>
      </c>
      <c r="F83">
        <v>35</v>
      </c>
      <c r="G83" t="s">
        <v>29</v>
      </c>
      <c r="H83" s="4">
        <v>2158.69</v>
      </c>
      <c r="I83" s="4">
        <v>2384.38</v>
      </c>
      <c r="J83" t="s">
        <v>17</v>
      </c>
      <c r="K83" s="2">
        <v>0.09</v>
      </c>
      <c r="L83" t="s">
        <v>27</v>
      </c>
      <c r="M83" t="s">
        <v>22</v>
      </c>
      <c r="N83" t="s">
        <v>36</v>
      </c>
      <c r="O83" s="5">
        <f t="shared" si="1"/>
        <v>7899.1500000000015</v>
      </c>
    </row>
    <row r="84" spans="1:15" x14ac:dyDescent="0.35">
      <c r="A84">
        <v>1004</v>
      </c>
      <c r="B84" s="1">
        <v>45282</v>
      </c>
      <c r="C84" t="s">
        <v>38</v>
      </c>
      <c r="D84" t="s">
        <v>15</v>
      </c>
      <c r="E84" s="4">
        <v>8485.9</v>
      </c>
      <c r="F84">
        <v>11</v>
      </c>
      <c r="G84" t="s">
        <v>29</v>
      </c>
      <c r="H84" s="4">
        <v>4840.33</v>
      </c>
      <c r="I84" s="4">
        <v>4884.29</v>
      </c>
      <c r="J84" t="s">
        <v>30</v>
      </c>
      <c r="K84" s="2">
        <v>0.13</v>
      </c>
      <c r="L84" t="s">
        <v>18</v>
      </c>
      <c r="M84" t="s">
        <v>19</v>
      </c>
      <c r="N84" t="s">
        <v>40</v>
      </c>
      <c r="O84" s="5">
        <f t="shared" si="1"/>
        <v>483.5600000000004</v>
      </c>
    </row>
    <row r="85" spans="1:15" x14ac:dyDescent="0.35">
      <c r="A85">
        <v>1002</v>
      </c>
      <c r="B85" s="1">
        <v>45259</v>
      </c>
      <c r="C85" t="s">
        <v>24</v>
      </c>
      <c r="D85" t="s">
        <v>15</v>
      </c>
      <c r="E85" s="4">
        <v>333.59</v>
      </c>
      <c r="F85">
        <v>24</v>
      </c>
      <c r="G85" t="s">
        <v>16</v>
      </c>
      <c r="H85" s="4">
        <v>3305.94</v>
      </c>
      <c r="I85" s="4">
        <v>3599.27</v>
      </c>
      <c r="J85" t="s">
        <v>30</v>
      </c>
      <c r="K85" s="2">
        <v>0.09</v>
      </c>
      <c r="L85" t="s">
        <v>31</v>
      </c>
      <c r="M85" t="s">
        <v>22</v>
      </c>
      <c r="N85" t="s">
        <v>45</v>
      </c>
      <c r="O85" s="5">
        <f t="shared" si="1"/>
        <v>7039.9199999999983</v>
      </c>
    </row>
    <row r="86" spans="1:15" x14ac:dyDescent="0.35">
      <c r="A86">
        <v>1006</v>
      </c>
      <c r="B86" s="1">
        <v>45185</v>
      </c>
      <c r="C86" t="s">
        <v>14</v>
      </c>
      <c r="D86" t="s">
        <v>15</v>
      </c>
      <c r="E86" s="4">
        <v>8995.75</v>
      </c>
      <c r="F86">
        <v>49</v>
      </c>
      <c r="G86" t="s">
        <v>26</v>
      </c>
      <c r="H86" s="4">
        <v>2843.76</v>
      </c>
      <c r="I86" s="4">
        <v>3146.6</v>
      </c>
      <c r="J86" t="s">
        <v>30</v>
      </c>
      <c r="K86" s="2">
        <v>0.08</v>
      </c>
      <c r="L86" t="s">
        <v>18</v>
      </c>
      <c r="M86" t="s">
        <v>22</v>
      </c>
      <c r="N86" t="s">
        <v>20</v>
      </c>
      <c r="O86" s="5">
        <f t="shared" si="1"/>
        <v>14839.159999999985</v>
      </c>
    </row>
    <row r="87" spans="1:15" x14ac:dyDescent="0.35">
      <c r="A87">
        <v>1054</v>
      </c>
      <c r="B87" s="1">
        <v>45087</v>
      </c>
      <c r="C87" t="s">
        <v>14</v>
      </c>
      <c r="D87" t="s">
        <v>25</v>
      </c>
      <c r="E87" s="4">
        <v>7853.66</v>
      </c>
      <c r="F87">
        <v>21</v>
      </c>
      <c r="G87" t="s">
        <v>16</v>
      </c>
      <c r="H87" s="4">
        <v>4668.1400000000003</v>
      </c>
      <c r="I87" s="4">
        <v>5040.22</v>
      </c>
      <c r="J87" t="s">
        <v>30</v>
      </c>
      <c r="K87" s="2">
        <v>0.05</v>
      </c>
      <c r="L87" t="s">
        <v>27</v>
      </c>
      <c r="M87" t="s">
        <v>19</v>
      </c>
      <c r="N87" t="s">
        <v>32</v>
      </c>
      <c r="O87" s="5">
        <f t="shared" si="1"/>
        <v>7813.6799999999985</v>
      </c>
    </row>
    <row r="88" spans="1:15" x14ac:dyDescent="0.35">
      <c r="A88">
        <v>1004</v>
      </c>
      <c r="B88" s="1">
        <v>45104</v>
      </c>
      <c r="C88" t="s">
        <v>42</v>
      </c>
      <c r="D88" t="s">
        <v>21</v>
      </c>
      <c r="E88" s="4">
        <v>7825.72</v>
      </c>
      <c r="F88">
        <v>2</v>
      </c>
      <c r="G88" t="s">
        <v>35</v>
      </c>
      <c r="H88" s="4">
        <v>2953.23</v>
      </c>
      <c r="I88" s="4">
        <v>2977.52</v>
      </c>
      <c r="J88" t="s">
        <v>17</v>
      </c>
      <c r="K88" s="2">
        <v>0.11</v>
      </c>
      <c r="L88" t="s">
        <v>31</v>
      </c>
      <c r="M88" t="s">
        <v>22</v>
      </c>
      <c r="N88" t="s">
        <v>51</v>
      </c>
      <c r="O88" s="5">
        <f t="shared" si="1"/>
        <v>48.579999999999927</v>
      </c>
    </row>
    <row r="89" spans="1:15" x14ac:dyDescent="0.35">
      <c r="A89">
        <v>1054</v>
      </c>
      <c r="B89" s="1">
        <v>44936</v>
      </c>
      <c r="C89" t="s">
        <v>38</v>
      </c>
      <c r="D89" t="s">
        <v>25</v>
      </c>
      <c r="E89" s="4">
        <v>4634.16</v>
      </c>
      <c r="F89">
        <v>40</v>
      </c>
      <c r="G89" t="s">
        <v>16</v>
      </c>
      <c r="H89" s="4">
        <v>2654.11</v>
      </c>
      <c r="I89" s="4">
        <v>2929.32</v>
      </c>
      <c r="J89" t="s">
        <v>17</v>
      </c>
      <c r="K89" s="2">
        <v>0.08</v>
      </c>
      <c r="L89" t="s">
        <v>18</v>
      </c>
      <c r="M89" t="s">
        <v>19</v>
      </c>
      <c r="N89" t="s">
        <v>39</v>
      </c>
      <c r="O89" s="5">
        <f t="shared" si="1"/>
        <v>11008.400000000001</v>
      </c>
    </row>
    <row r="90" spans="1:15" x14ac:dyDescent="0.35">
      <c r="A90">
        <v>1093</v>
      </c>
      <c r="B90" s="1">
        <v>45187</v>
      </c>
      <c r="C90" t="s">
        <v>24</v>
      </c>
      <c r="D90" t="s">
        <v>21</v>
      </c>
      <c r="E90" s="4">
        <v>4040.25</v>
      </c>
      <c r="F90">
        <v>19</v>
      </c>
      <c r="G90" t="s">
        <v>35</v>
      </c>
      <c r="H90" s="4">
        <v>3808.59</v>
      </c>
      <c r="I90" s="4">
        <v>3844.51</v>
      </c>
      <c r="J90" t="s">
        <v>30</v>
      </c>
      <c r="K90" s="2">
        <v>0.21</v>
      </c>
      <c r="L90" t="s">
        <v>31</v>
      </c>
      <c r="M90" t="s">
        <v>19</v>
      </c>
      <c r="N90" t="s">
        <v>47</v>
      </c>
      <c r="O90" s="5">
        <f t="shared" si="1"/>
        <v>682.48000000000138</v>
      </c>
    </row>
    <row r="91" spans="1:15" x14ac:dyDescent="0.35">
      <c r="A91">
        <v>1063</v>
      </c>
      <c r="B91" s="1">
        <v>45064</v>
      </c>
      <c r="C91" t="s">
        <v>14</v>
      </c>
      <c r="D91" t="s">
        <v>21</v>
      </c>
      <c r="E91" s="4">
        <v>3098.87</v>
      </c>
      <c r="F91">
        <v>39</v>
      </c>
      <c r="G91" t="s">
        <v>26</v>
      </c>
      <c r="H91" s="4">
        <v>3577.69</v>
      </c>
      <c r="I91" s="4">
        <v>3931.25</v>
      </c>
      <c r="J91" t="s">
        <v>17</v>
      </c>
      <c r="K91" s="2">
        <v>0.21</v>
      </c>
      <c r="L91" t="s">
        <v>18</v>
      </c>
      <c r="M91" t="s">
        <v>22</v>
      </c>
      <c r="N91" t="s">
        <v>23</v>
      </c>
      <c r="O91" s="5">
        <f t="shared" si="1"/>
        <v>13788.839999999998</v>
      </c>
    </row>
    <row r="92" spans="1:15" x14ac:dyDescent="0.35">
      <c r="A92">
        <v>1018</v>
      </c>
      <c r="B92" s="1">
        <v>45098</v>
      </c>
      <c r="C92" t="s">
        <v>38</v>
      </c>
      <c r="D92" t="s">
        <v>15</v>
      </c>
      <c r="E92" s="4">
        <v>750.38</v>
      </c>
      <c r="F92">
        <v>28</v>
      </c>
      <c r="G92" t="s">
        <v>29</v>
      </c>
      <c r="H92" s="4">
        <v>1006.14</v>
      </c>
      <c r="I92" s="4">
        <v>1043.45</v>
      </c>
      <c r="J92" t="s">
        <v>30</v>
      </c>
      <c r="K92" s="2">
        <v>0.15</v>
      </c>
      <c r="L92" t="s">
        <v>27</v>
      </c>
      <c r="M92" t="s">
        <v>22</v>
      </c>
      <c r="N92" t="s">
        <v>40</v>
      </c>
      <c r="O92" s="5">
        <f t="shared" si="1"/>
        <v>1044.6800000000017</v>
      </c>
    </row>
    <row r="93" spans="1:15" x14ac:dyDescent="0.35">
      <c r="A93">
        <v>1090</v>
      </c>
      <c r="B93" s="1">
        <v>44939</v>
      </c>
      <c r="C93" t="s">
        <v>42</v>
      </c>
      <c r="D93" t="s">
        <v>34</v>
      </c>
      <c r="E93" s="4">
        <v>2359.5300000000002</v>
      </c>
      <c r="F93">
        <v>17</v>
      </c>
      <c r="G93" t="s">
        <v>29</v>
      </c>
      <c r="H93" s="4">
        <v>2382.98</v>
      </c>
      <c r="I93" s="4">
        <v>2839.73</v>
      </c>
      <c r="J93" t="s">
        <v>17</v>
      </c>
      <c r="K93" s="2">
        <v>0.23</v>
      </c>
      <c r="L93" t="s">
        <v>27</v>
      </c>
      <c r="M93" t="s">
        <v>22</v>
      </c>
      <c r="N93" t="s">
        <v>52</v>
      </c>
      <c r="O93" s="5">
        <f t="shared" si="1"/>
        <v>7764.75</v>
      </c>
    </row>
    <row r="94" spans="1:15" x14ac:dyDescent="0.35">
      <c r="A94">
        <v>1044</v>
      </c>
      <c r="B94" s="1">
        <v>45094</v>
      </c>
      <c r="C94" t="s">
        <v>33</v>
      </c>
      <c r="D94" t="s">
        <v>15</v>
      </c>
      <c r="E94" s="4">
        <v>2541.38</v>
      </c>
      <c r="F94">
        <v>6</v>
      </c>
      <c r="G94" t="s">
        <v>16</v>
      </c>
      <c r="H94" s="4">
        <v>2388.9499999999998</v>
      </c>
      <c r="I94" s="4">
        <v>2742.97</v>
      </c>
      <c r="J94" t="s">
        <v>17</v>
      </c>
      <c r="K94" s="2">
        <v>0.25</v>
      </c>
      <c r="L94" t="s">
        <v>31</v>
      </c>
      <c r="M94" t="s">
        <v>22</v>
      </c>
      <c r="N94" t="s">
        <v>53</v>
      </c>
      <c r="O94" s="5">
        <f t="shared" si="1"/>
        <v>2124.12</v>
      </c>
    </row>
    <row r="95" spans="1:15" x14ac:dyDescent="0.35">
      <c r="A95">
        <v>1034</v>
      </c>
      <c r="B95" s="1">
        <v>45056</v>
      </c>
      <c r="C95" t="s">
        <v>38</v>
      </c>
      <c r="D95" t="s">
        <v>34</v>
      </c>
      <c r="E95" s="4">
        <v>4892.3599999999997</v>
      </c>
      <c r="F95">
        <v>19</v>
      </c>
      <c r="G95" t="s">
        <v>29</v>
      </c>
      <c r="H95" s="4">
        <v>1922.21</v>
      </c>
      <c r="I95" s="4">
        <v>2180.83</v>
      </c>
      <c r="J95" t="s">
        <v>17</v>
      </c>
      <c r="K95" s="2">
        <v>0.17</v>
      </c>
      <c r="L95" t="s">
        <v>31</v>
      </c>
      <c r="M95" t="s">
        <v>22</v>
      </c>
      <c r="N95" t="s">
        <v>48</v>
      </c>
      <c r="O95" s="5">
        <f t="shared" si="1"/>
        <v>4913.7799999999979</v>
      </c>
    </row>
    <row r="96" spans="1:15" x14ac:dyDescent="0.35">
      <c r="A96">
        <v>1074</v>
      </c>
      <c r="B96" s="1">
        <v>45010</v>
      </c>
      <c r="C96" t="s">
        <v>38</v>
      </c>
      <c r="D96" t="s">
        <v>21</v>
      </c>
      <c r="E96" s="4">
        <v>7499.7</v>
      </c>
      <c r="F96">
        <v>38</v>
      </c>
      <c r="G96" t="s">
        <v>26</v>
      </c>
      <c r="H96" s="4">
        <v>2610.6</v>
      </c>
      <c r="I96" s="4">
        <v>2836.94</v>
      </c>
      <c r="J96" t="s">
        <v>17</v>
      </c>
      <c r="K96" s="2">
        <v>0.19</v>
      </c>
      <c r="L96" t="s">
        <v>31</v>
      </c>
      <c r="M96" t="s">
        <v>19</v>
      </c>
      <c r="N96" t="s">
        <v>41</v>
      </c>
      <c r="O96" s="5">
        <f t="shared" si="1"/>
        <v>8600.9200000000055</v>
      </c>
    </row>
    <row r="97" spans="1:15" x14ac:dyDescent="0.35">
      <c r="A97">
        <v>1062</v>
      </c>
      <c r="B97" s="1">
        <v>45247</v>
      </c>
      <c r="C97" t="s">
        <v>33</v>
      </c>
      <c r="D97" t="s">
        <v>15</v>
      </c>
      <c r="E97" s="4">
        <v>4790.72</v>
      </c>
      <c r="F97">
        <v>28</v>
      </c>
      <c r="G97" t="s">
        <v>29</v>
      </c>
      <c r="H97" s="4">
        <v>2094.88</v>
      </c>
      <c r="I97" s="4">
        <v>2168.91</v>
      </c>
      <c r="J97" t="s">
        <v>17</v>
      </c>
      <c r="K97" s="2">
        <v>0.08</v>
      </c>
      <c r="L97" t="s">
        <v>18</v>
      </c>
      <c r="M97" t="s">
        <v>22</v>
      </c>
      <c r="N97" t="s">
        <v>53</v>
      </c>
      <c r="O97" s="5">
        <f t="shared" si="1"/>
        <v>2072.8399999999929</v>
      </c>
    </row>
    <row r="98" spans="1:15" x14ac:dyDescent="0.35">
      <c r="A98">
        <v>1100</v>
      </c>
      <c r="B98" s="1">
        <v>45245</v>
      </c>
      <c r="C98" t="s">
        <v>38</v>
      </c>
      <c r="D98" t="s">
        <v>34</v>
      </c>
      <c r="E98" s="4">
        <v>672.66</v>
      </c>
      <c r="F98">
        <v>2</v>
      </c>
      <c r="G98" t="s">
        <v>16</v>
      </c>
      <c r="H98" s="4">
        <v>1036.76</v>
      </c>
      <c r="I98" s="4">
        <v>1189.3499999999999</v>
      </c>
      <c r="J98" t="s">
        <v>30</v>
      </c>
      <c r="K98" s="2">
        <v>0.27</v>
      </c>
      <c r="L98" t="s">
        <v>27</v>
      </c>
      <c r="M98" t="s">
        <v>19</v>
      </c>
      <c r="N98" t="s">
        <v>48</v>
      </c>
      <c r="O98" s="5">
        <f t="shared" si="1"/>
        <v>305.17999999999984</v>
      </c>
    </row>
    <row r="99" spans="1:15" x14ac:dyDescent="0.35">
      <c r="A99">
        <v>1014</v>
      </c>
      <c r="B99" s="1">
        <v>45027</v>
      </c>
      <c r="C99" t="s">
        <v>42</v>
      </c>
      <c r="D99" t="s">
        <v>25</v>
      </c>
      <c r="E99" s="4">
        <v>9582.1200000000008</v>
      </c>
      <c r="F99">
        <v>38</v>
      </c>
      <c r="G99" t="s">
        <v>26</v>
      </c>
      <c r="H99" s="4">
        <v>2091.21</v>
      </c>
      <c r="I99" s="4">
        <v>2527</v>
      </c>
      <c r="J99" t="s">
        <v>17</v>
      </c>
      <c r="K99" s="2">
        <v>0.01</v>
      </c>
      <c r="L99" t="s">
        <v>31</v>
      </c>
      <c r="M99" t="s">
        <v>19</v>
      </c>
      <c r="N99" t="s">
        <v>43</v>
      </c>
      <c r="O99" s="5">
        <f t="shared" si="1"/>
        <v>16560.019999999997</v>
      </c>
    </row>
    <row r="100" spans="1:15" x14ac:dyDescent="0.35">
      <c r="A100">
        <v>1095</v>
      </c>
      <c r="B100" s="1">
        <v>45255</v>
      </c>
      <c r="C100" t="s">
        <v>42</v>
      </c>
      <c r="D100" t="s">
        <v>34</v>
      </c>
      <c r="E100" s="4">
        <v>9432.9699999999993</v>
      </c>
      <c r="F100">
        <v>37</v>
      </c>
      <c r="G100" t="s">
        <v>35</v>
      </c>
      <c r="H100" s="4">
        <v>407.77</v>
      </c>
      <c r="I100" s="4">
        <v>860.95</v>
      </c>
      <c r="J100" t="s">
        <v>30</v>
      </c>
      <c r="K100" s="2">
        <v>0.1</v>
      </c>
      <c r="L100" t="s">
        <v>31</v>
      </c>
      <c r="M100" t="s">
        <v>22</v>
      </c>
      <c r="N100" t="s">
        <v>52</v>
      </c>
      <c r="O100" s="5">
        <f t="shared" si="1"/>
        <v>16767.660000000003</v>
      </c>
    </row>
    <row r="101" spans="1:15" x14ac:dyDescent="0.35">
      <c r="A101">
        <v>1048</v>
      </c>
      <c r="B101" s="1">
        <v>45199</v>
      </c>
      <c r="C101" t="s">
        <v>33</v>
      </c>
      <c r="D101" t="s">
        <v>15</v>
      </c>
      <c r="E101" s="4">
        <v>7873.38</v>
      </c>
      <c r="F101">
        <v>4</v>
      </c>
      <c r="G101" t="s">
        <v>16</v>
      </c>
      <c r="H101" s="4">
        <v>2900.14</v>
      </c>
      <c r="I101" s="4">
        <v>2910.5099999999902</v>
      </c>
      <c r="J101" t="s">
        <v>30</v>
      </c>
      <c r="K101" s="2">
        <v>0.22</v>
      </c>
      <c r="L101" t="s">
        <v>31</v>
      </c>
      <c r="M101" t="s">
        <v>22</v>
      </c>
      <c r="N101" t="s">
        <v>53</v>
      </c>
      <c r="O101" s="5">
        <f t="shared" si="1"/>
        <v>41.479999999961365</v>
      </c>
    </row>
    <row r="102" spans="1:15" x14ac:dyDescent="0.35">
      <c r="A102">
        <v>1015</v>
      </c>
      <c r="B102" s="1">
        <v>45191</v>
      </c>
      <c r="C102" t="s">
        <v>24</v>
      </c>
      <c r="D102" t="s">
        <v>25</v>
      </c>
      <c r="E102" s="4">
        <v>9914.15</v>
      </c>
      <c r="F102">
        <v>22</v>
      </c>
      <c r="G102" t="s">
        <v>35</v>
      </c>
      <c r="H102" s="4">
        <v>4275.59</v>
      </c>
      <c r="I102" s="4">
        <v>4576.72</v>
      </c>
      <c r="J102" t="s">
        <v>17</v>
      </c>
      <c r="K102" s="2">
        <v>0.02</v>
      </c>
      <c r="L102" t="s">
        <v>18</v>
      </c>
      <c r="M102" t="s">
        <v>22</v>
      </c>
      <c r="N102" t="s">
        <v>28</v>
      </c>
      <c r="O102" s="5">
        <f t="shared" si="1"/>
        <v>6624.8600000000024</v>
      </c>
    </row>
    <row r="103" spans="1:15" x14ac:dyDescent="0.35">
      <c r="A103">
        <v>1072</v>
      </c>
      <c r="B103" s="1">
        <v>44964</v>
      </c>
      <c r="C103" t="s">
        <v>14</v>
      </c>
      <c r="D103" t="s">
        <v>34</v>
      </c>
      <c r="E103" s="4">
        <v>5490.38</v>
      </c>
      <c r="F103">
        <v>26</v>
      </c>
      <c r="G103" t="s">
        <v>26</v>
      </c>
      <c r="H103" s="4">
        <v>3640.17</v>
      </c>
      <c r="I103" s="4">
        <v>4002.63</v>
      </c>
      <c r="J103" t="s">
        <v>30</v>
      </c>
      <c r="K103" s="2">
        <v>0.05</v>
      </c>
      <c r="L103" t="s">
        <v>31</v>
      </c>
      <c r="M103" t="s">
        <v>22</v>
      </c>
      <c r="N103" t="s">
        <v>46</v>
      </c>
      <c r="O103" s="5">
        <f t="shared" si="1"/>
        <v>9423.9600000000009</v>
      </c>
    </row>
    <row r="104" spans="1:15" x14ac:dyDescent="0.35">
      <c r="A104">
        <v>1078</v>
      </c>
      <c r="B104" s="1">
        <v>45020</v>
      </c>
      <c r="C104" t="s">
        <v>24</v>
      </c>
      <c r="D104" t="s">
        <v>34</v>
      </c>
      <c r="E104" s="4">
        <v>9631.41</v>
      </c>
      <c r="F104">
        <v>49</v>
      </c>
      <c r="G104" t="s">
        <v>16</v>
      </c>
      <c r="H104" s="4">
        <v>1833.95</v>
      </c>
      <c r="I104" s="4">
        <v>2147.14</v>
      </c>
      <c r="J104" t="s">
        <v>17</v>
      </c>
      <c r="K104" s="2">
        <v>0.18</v>
      </c>
      <c r="L104" t="s">
        <v>31</v>
      </c>
      <c r="M104" t="s">
        <v>22</v>
      </c>
      <c r="N104" t="s">
        <v>50</v>
      </c>
      <c r="O104" s="5">
        <f t="shared" si="1"/>
        <v>15346.309999999992</v>
      </c>
    </row>
    <row r="105" spans="1:15" x14ac:dyDescent="0.35">
      <c r="A105">
        <v>1087</v>
      </c>
      <c r="B105" s="1">
        <v>45021</v>
      </c>
      <c r="C105" t="s">
        <v>38</v>
      </c>
      <c r="D105" t="s">
        <v>34</v>
      </c>
      <c r="E105" s="4">
        <v>848.49</v>
      </c>
      <c r="F105">
        <v>43</v>
      </c>
      <c r="G105" t="s">
        <v>16</v>
      </c>
      <c r="H105" s="4">
        <v>481</v>
      </c>
      <c r="I105" s="4">
        <v>531.02</v>
      </c>
      <c r="J105" t="s">
        <v>30</v>
      </c>
      <c r="K105" s="2">
        <v>0.17</v>
      </c>
      <c r="L105" t="s">
        <v>18</v>
      </c>
      <c r="M105" t="s">
        <v>19</v>
      </c>
      <c r="N105" t="s">
        <v>48</v>
      </c>
      <c r="O105" s="5">
        <f t="shared" si="1"/>
        <v>2150.8599999999992</v>
      </c>
    </row>
    <row r="106" spans="1:15" x14ac:dyDescent="0.35">
      <c r="A106">
        <v>1062</v>
      </c>
      <c r="B106" s="1">
        <v>45231</v>
      </c>
      <c r="C106" t="s">
        <v>14</v>
      </c>
      <c r="D106" t="s">
        <v>34</v>
      </c>
      <c r="E106" s="4">
        <v>3720.24</v>
      </c>
      <c r="F106">
        <v>36</v>
      </c>
      <c r="G106" t="s">
        <v>26</v>
      </c>
      <c r="H106" s="4">
        <v>1050.6400000000001</v>
      </c>
      <c r="I106" s="4">
        <v>1167.33</v>
      </c>
      <c r="J106" t="s">
        <v>30</v>
      </c>
      <c r="K106" s="2">
        <v>0.22</v>
      </c>
      <c r="L106" t="s">
        <v>18</v>
      </c>
      <c r="M106" t="s">
        <v>19</v>
      </c>
      <c r="N106" t="s">
        <v>46</v>
      </c>
      <c r="O106" s="5">
        <f t="shared" si="1"/>
        <v>4200.8399999999938</v>
      </c>
    </row>
    <row r="107" spans="1:15" x14ac:dyDescent="0.35">
      <c r="A107">
        <v>1085</v>
      </c>
      <c r="B107" s="1">
        <v>45244</v>
      </c>
      <c r="C107" t="s">
        <v>33</v>
      </c>
      <c r="D107" t="s">
        <v>25</v>
      </c>
      <c r="E107" s="4">
        <v>2038.75</v>
      </c>
      <c r="F107">
        <v>32</v>
      </c>
      <c r="G107" t="s">
        <v>16</v>
      </c>
      <c r="H107" s="4">
        <v>1074.93</v>
      </c>
      <c r="I107" s="4">
        <v>1492.48</v>
      </c>
      <c r="J107" t="s">
        <v>17</v>
      </c>
      <c r="K107" s="2">
        <v>0.04</v>
      </c>
      <c r="L107" t="s">
        <v>31</v>
      </c>
      <c r="M107" t="s">
        <v>22</v>
      </c>
      <c r="N107" t="s">
        <v>44</v>
      </c>
      <c r="O107" s="5">
        <f t="shared" si="1"/>
        <v>13361.599999999999</v>
      </c>
    </row>
    <row r="108" spans="1:15" x14ac:dyDescent="0.35">
      <c r="A108">
        <v>1080</v>
      </c>
      <c r="B108" s="1">
        <v>45162</v>
      </c>
      <c r="C108" t="s">
        <v>14</v>
      </c>
      <c r="D108" t="s">
        <v>21</v>
      </c>
      <c r="E108" s="4">
        <v>1493.95</v>
      </c>
      <c r="F108">
        <v>17</v>
      </c>
      <c r="G108" t="s">
        <v>16</v>
      </c>
      <c r="H108" s="4">
        <v>2742.67</v>
      </c>
      <c r="I108" s="4">
        <v>2979.64</v>
      </c>
      <c r="J108" t="s">
        <v>17</v>
      </c>
      <c r="K108" s="2">
        <v>0.01</v>
      </c>
      <c r="L108" t="s">
        <v>18</v>
      </c>
      <c r="M108" t="s">
        <v>22</v>
      </c>
      <c r="N108" t="s">
        <v>23</v>
      </c>
      <c r="O108" s="5">
        <f t="shared" si="1"/>
        <v>4028.4899999999966</v>
      </c>
    </row>
    <row r="109" spans="1:15" x14ac:dyDescent="0.35">
      <c r="A109">
        <v>1082</v>
      </c>
      <c r="B109" s="1">
        <v>45260</v>
      </c>
      <c r="C109" t="s">
        <v>42</v>
      </c>
      <c r="D109" t="s">
        <v>25</v>
      </c>
      <c r="E109" s="4">
        <v>6261.9</v>
      </c>
      <c r="F109">
        <v>41</v>
      </c>
      <c r="G109" t="s">
        <v>35</v>
      </c>
      <c r="H109" s="4">
        <v>1196.42</v>
      </c>
      <c r="I109" s="4">
        <v>1444.97</v>
      </c>
      <c r="J109" t="s">
        <v>17</v>
      </c>
      <c r="K109" s="2">
        <v>0.21</v>
      </c>
      <c r="L109" t="s">
        <v>27</v>
      </c>
      <c r="M109" t="s">
        <v>19</v>
      </c>
      <c r="N109" t="s">
        <v>43</v>
      </c>
      <c r="O109" s="5">
        <f t="shared" si="1"/>
        <v>10190.549999999997</v>
      </c>
    </row>
    <row r="110" spans="1:15" x14ac:dyDescent="0.35">
      <c r="A110">
        <v>1053</v>
      </c>
      <c r="B110" s="1">
        <v>45063</v>
      </c>
      <c r="C110" t="s">
        <v>14</v>
      </c>
      <c r="D110" t="s">
        <v>25</v>
      </c>
      <c r="E110" s="4">
        <v>7835.09</v>
      </c>
      <c r="F110">
        <v>36</v>
      </c>
      <c r="G110" t="s">
        <v>29</v>
      </c>
      <c r="H110" s="4">
        <v>4252.17</v>
      </c>
      <c r="I110" s="4">
        <v>4720.2700000000004</v>
      </c>
      <c r="J110" t="s">
        <v>30</v>
      </c>
      <c r="K110" s="2">
        <v>0.09</v>
      </c>
      <c r="L110" t="s">
        <v>18</v>
      </c>
      <c r="M110" t="s">
        <v>22</v>
      </c>
      <c r="N110" t="s">
        <v>32</v>
      </c>
      <c r="O110" s="5">
        <f t="shared" si="1"/>
        <v>16851.600000000013</v>
      </c>
    </row>
    <row r="111" spans="1:15" x14ac:dyDescent="0.35">
      <c r="A111">
        <v>1024</v>
      </c>
      <c r="B111" s="1">
        <v>45002</v>
      </c>
      <c r="C111" t="s">
        <v>38</v>
      </c>
      <c r="D111" t="s">
        <v>25</v>
      </c>
      <c r="E111" s="4">
        <v>5825.15</v>
      </c>
      <c r="F111">
        <v>46</v>
      </c>
      <c r="G111" t="s">
        <v>35</v>
      </c>
      <c r="H111" s="4">
        <v>2016.49</v>
      </c>
      <c r="I111" s="4">
        <v>2338.66</v>
      </c>
      <c r="J111" t="s">
        <v>17</v>
      </c>
      <c r="K111" s="2">
        <v>0.19</v>
      </c>
      <c r="L111" t="s">
        <v>27</v>
      </c>
      <c r="M111" t="s">
        <v>22</v>
      </c>
      <c r="N111" t="s">
        <v>39</v>
      </c>
      <c r="O111" s="5">
        <f t="shared" si="1"/>
        <v>14819.819999999992</v>
      </c>
    </row>
    <row r="112" spans="1:15" x14ac:dyDescent="0.35">
      <c r="A112">
        <v>1026</v>
      </c>
      <c r="B112" s="1">
        <v>44961</v>
      </c>
      <c r="C112" t="s">
        <v>42</v>
      </c>
      <c r="D112" t="s">
        <v>21</v>
      </c>
      <c r="E112" s="4">
        <v>1554.93</v>
      </c>
      <c r="F112">
        <v>19</v>
      </c>
      <c r="G112" t="s">
        <v>35</v>
      </c>
      <c r="H112" s="4">
        <v>1265.48</v>
      </c>
      <c r="I112" s="4">
        <v>1715.83</v>
      </c>
      <c r="J112" t="s">
        <v>30</v>
      </c>
      <c r="K112" s="2">
        <v>0.05</v>
      </c>
      <c r="L112" t="s">
        <v>31</v>
      </c>
      <c r="M112" t="s">
        <v>22</v>
      </c>
      <c r="N112" t="s">
        <v>51</v>
      </c>
      <c r="O112" s="5">
        <f t="shared" si="1"/>
        <v>8556.6499999999978</v>
      </c>
    </row>
    <row r="113" spans="1:15" x14ac:dyDescent="0.35">
      <c r="A113">
        <v>1089</v>
      </c>
      <c r="B113" s="1">
        <v>44927</v>
      </c>
      <c r="C113" t="s">
        <v>33</v>
      </c>
      <c r="D113" t="s">
        <v>15</v>
      </c>
      <c r="E113" s="4">
        <v>8130.13</v>
      </c>
      <c r="F113">
        <v>35</v>
      </c>
      <c r="G113" t="s">
        <v>29</v>
      </c>
      <c r="H113" s="4">
        <v>4071.01</v>
      </c>
      <c r="I113" s="4">
        <v>4304.7</v>
      </c>
      <c r="J113" t="s">
        <v>30</v>
      </c>
      <c r="K113" s="2">
        <v>0.14000000000000001</v>
      </c>
      <c r="L113" t="s">
        <v>31</v>
      </c>
      <c r="M113" t="s">
        <v>19</v>
      </c>
      <c r="N113" t="s">
        <v>53</v>
      </c>
      <c r="O113" s="5">
        <f t="shared" si="1"/>
        <v>8179.149999999986</v>
      </c>
    </row>
    <row r="114" spans="1:15" x14ac:dyDescent="0.35">
      <c r="A114">
        <v>1060</v>
      </c>
      <c r="B114" s="1">
        <v>45222</v>
      </c>
      <c r="C114" t="s">
        <v>14</v>
      </c>
      <c r="D114" t="s">
        <v>21</v>
      </c>
      <c r="E114" s="4">
        <v>6395.95</v>
      </c>
      <c r="F114">
        <v>46</v>
      </c>
      <c r="G114" t="s">
        <v>29</v>
      </c>
      <c r="H114" s="4">
        <v>1747.05</v>
      </c>
      <c r="I114" s="4">
        <v>1830.27</v>
      </c>
      <c r="J114" t="s">
        <v>30</v>
      </c>
      <c r="K114" s="2">
        <v>0.15</v>
      </c>
      <c r="L114" t="s">
        <v>27</v>
      </c>
      <c r="M114" t="s">
        <v>22</v>
      </c>
      <c r="N114" t="s">
        <v>23</v>
      </c>
      <c r="O114" s="5">
        <f t="shared" si="1"/>
        <v>3828.1200000000013</v>
      </c>
    </row>
    <row r="115" spans="1:15" x14ac:dyDescent="0.35">
      <c r="A115">
        <v>1041</v>
      </c>
      <c r="B115" s="1">
        <v>45246</v>
      </c>
      <c r="C115" t="s">
        <v>24</v>
      </c>
      <c r="D115" t="s">
        <v>25</v>
      </c>
      <c r="E115" s="4">
        <v>3942.84</v>
      </c>
      <c r="F115">
        <v>40</v>
      </c>
      <c r="G115" t="s">
        <v>26</v>
      </c>
      <c r="H115" s="4">
        <v>601.86</v>
      </c>
      <c r="I115" s="4">
        <v>1067.53</v>
      </c>
      <c r="J115" t="s">
        <v>30</v>
      </c>
      <c r="K115" s="2">
        <v>0.18</v>
      </c>
      <c r="L115" t="s">
        <v>18</v>
      </c>
      <c r="M115" t="s">
        <v>19</v>
      </c>
      <c r="N115" t="s">
        <v>28</v>
      </c>
      <c r="O115" s="5">
        <f t="shared" si="1"/>
        <v>18626.8</v>
      </c>
    </row>
    <row r="116" spans="1:15" x14ac:dyDescent="0.35">
      <c r="A116">
        <v>1029</v>
      </c>
      <c r="B116" s="1">
        <v>44986</v>
      </c>
      <c r="C116" t="s">
        <v>24</v>
      </c>
      <c r="D116" t="s">
        <v>34</v>
      </c>
      <c r="E116" s="4">
        <v>6773.89</v>
      </c>
      <c r="F116">
        <v>28</v>
      </c>
      <c r="G116" t="s">
        <v>29</v>
      </c>
      <c r="H116" s="4">
        <v>2873.53</v>
      </c>
      <c r="I116" s="4">
        <v>3108.3</v>
      </c>
      <c r="J116" t="s">
        <v>30</v>
      </c>
      <c r="K116" s="2">
        <v>0.15</v>
      </c>
      <c r="L116" t="s">
        <v>31</v>
      </c>
      <c r="M116" t="s">
        <v>22</v>
      </c>
      <c r="N116" t="s">
        <v>50</v>
      </c>
      <c r="O116" s="5">
        <f t="shared" si="1"/>
        <v>6573.5599999999995</v>
      </c>
    </row>
    <row r="117" spans="1:15" x14ac:dyDescent="0.35">
      <c r="A117">
        <v>1015</v>
      </c>
      <c r="B117" s="1">
        <v>45246</v>
      </c>
      <c r="C117" t="s">
        <v>38</v>
      </c>
      <c r="D117" t="s">
        <v>34</v>
      </c>
      <c r="E117" s="4">
        <v>2673.06</v>
      </c>
      <c r="F117">
        <v>1</v>
      </c>
      <c r="G117" t="s">
        <v>16</v>
      </c>
      <c r="H117" s="4">
        <v>2928.74</v>
      </c>
      <c r="I117" s="4">
        <v>3027.74</v>
      </c>
      <c r="J117" t="s">
        <v>30</v>
      </c>
      <c r="K117" s="2">
        <v>0.15</v>
      </c>
      <c r="L117" t="s">
        <v>27</v>
      </c>
      <c r="M117" t="s">
        <v>22</v>
      </c>
      <c r="N117" t="s">
        <v>48</v>
      </c>
      <c r="O117" s="5">
        <f t="shared" si="1"/>
        <v>99</v>
      </c>
    </row>
    <row r="118" spans="1:15" x14ac:dyDescent="0.35">
      <c r="A118">
        <v>1045</v>
      </c>
      <c r="B118" s="1">
        <v>45275</v>
      </c>
      <c r="C118" t="s">
        <v>24</v>
      </c>
      <c r="D118" t="s">
        <v>25</v>
      </c>
      <c r="E118" s="4">
        <v>3517.4</v>
      </c>
      <c r="F118">
        <v>42</v>
      </c>
      <c r="G118" t="s">
        <v>29</v>
      </c>
      <c r="H118" s="4">
        <v>3587.74</v>
      </c>
      <c r="I118" s="4">
        <v>3745.91</v>
      </c>
      <c r="J118" t="s">
        <v>17</v>
      </c>
      <c r="K118" s="2">
        <v>0.1</v>
      </c>
      <c r="L118" t="s">
        <v>18</v>
      </c>
      <c r="M118" t="s">
        <v>19</v>
      </c>
      <c r="N118" t="s">
        <v>28</v>
      </c>
      <c r="O118" s="5">
        <f t="shared" si="1"/>
        <v>6643.1400000000031</v>
      </c>
    </row>
    <row r="119" spans="1:15" x14ac:dyDescent="0.35">
      <c r="A119">
        <v>1065</v>
      </c>
      <c r="B119" s="1">
        <v>45254</v>
      </c>
      <c r="C119" t="s">
        <v>14</v>
      </c>
      <c r="D119" t="s">
        <v>34</v>
      </c>
      <c r="E119" s="4">
        <v>9183.11</v>
      </c>
      <c r="F119">
        <v>18</v>
      </c>
      <c r="G119" t="s">
        <v>26</v>
      </c>
      <c r="H119" s="4">
        <v>1239.0899999999999</v>
      </c>
      <c r="I119" s="4">
        <v>1273.98</v>
      </c>
      <c r="J119" t="s">
        <v>30</v>
      </c>
      <c r="K119" s="2">
        <v>0.02</v>
      </c>
      <c r="L119" t="s">
        <v>27</v>
      </c>
      <c r="M119" t="s">
        <v>22</v>
      </c>
      <c r="N119" t="s">
        <v>46</v>
      </c>
      <c r="O119" s="5">
        <f t="shared" si="1"/>
        <v>628.0200000000018</v>
      </c>
    </row>
    <row r="120" spans="1:15" x14ac:dyDescent="0.35">
      <c r="A120">
        <v>1089</v>
      </c>
      <c r="B120" s="1">
        <v>45193</v>
      </c>
      <c r="C120" t="s">
        <v>14</v>
      </c>
      <c r="D120" t="s">
        <v>25</v>
      </c>
      <c r="E120" s="4">
        <v>2975.99</v>
      </c>
      <c r="F120">
        <v>48</v>
      </c>
      <c r="G120" t="s">
        <v>26</v>
      </c>
      <c r="H120" s="4">
        <v>2246.67</v>
      </c>
      <c r="I120" s="4">
        <v>2486.14</v>
      </c>
      <c r="J120" t="s">
        <v>30</v>
      </c>
      <c r="K120" s="2">
        <v>0.03</v>
      </c>
      <c r="L120" t="s">
        <v>18</v>
      </c>
      <c r="M120" t="s">
        <v>22</v>
      </c>
      <c r="N120" t="s">
        <v>32</v>
      </c>
      <c r="O120" s="5">
        <f t="shared" si="1"/>
        <v>11494.55999999999</v>
      </c>
    </row>
    <row r="121" spans="1:15" x14ac:dyDescent="0.35">
      <c r="A121">
        <v>1071</v>
      </c>
      <c r="B121" s="1">
        <v>45287</v>
      </c>
      <c r="C121" t="s">
        <v>24</v>
      </c>
      <c r="D121" t="s">
        <v>34</v>
      </c>
      <c r="E121" s="4">
        <v>4752.88</v>
      </c>
      <c r="F121">
        <v>40</v>
      </c>
      <c r="G121" t="s">
        <v>26</v>
      </c>
      <c r="H121" s="4">
        <v>1447.72</v>
      </c>
      <c r="I121" s="4">
        <v>1875.75</v>
      </c>
      <c r="J121" t="s">
        <v>30</v>
      </c>
      <c r="K121" s="2">
        <v>0.13</v>
      </c>
      <c r="L121" t="s">
        <v>18</v>
      </c>
      <c r="M121" t="s">
        <v>22</v>
      </c>
      <c r="N121" t="s">
        <v>50</v>
      </c>
      <c r="O121" s="5">
        <f t="shared" si="1"/>
        <v>17121.199999999997</v>
      </c>
    </row>
    <row r="122" spans="1:15" x14ac:dyDescent="0.35">
      <c r="A122">
        <v>1009</v>
      </c>
      <c r="B122" s="1">
        <v>45155</v>
      </c>
      <c r="C122" t="s">
        <v>14</v>
      </c>
      <c r="D122" t="s">
        <v>21</v>
      </c>
      <c r="E122" s="4">
        <v>8912.4</v>
      </c>
      <c r="F122">
        <v>33</v>
      </c>
      <c r="G122" t="s">
        <v>29</v>
      </c>
      <c r="H122" s="4">
        <v>450.72</v>
      </c>
      <c r="I122" s="4">
        <v>918.17</v>
      </c>
      <c r="J122" t="s">
        <v>17</v>
      </c>
      <c r="K122" s="2">
        <v>0.11</v>
      </c>
      <c r="L122" t="s">
        <v>18</v>
      </c>
      <c r="M122" t="s">
        <v>19</v>
      </c>
      <c r="N122" t="s">
        <v>23</v>
      </c>
      <c r="O122" s="5">
        <f t="shared" si="1"/>
        <v>15425.849999999999</v>
      </c>
    </row>
    <row r="123" spans="1:15" x14ac:dyDescent="0.35">
      <c r="A123">
        <v>1088</v>
      </c>
      <c r="B123" s="1">
        <v>45196</v>
      </c>
      <c r="C123" t="s">
        <v>38</v>
      </c>
      <c r="D123" t="s">
        <v>15</v>
      </c>
      <c r="E123" s="4">
        <v>7106.44</v>
      </c>
      <c r="F123">
        <v>12</v>
      </c>
      <c r="G123" t="s">
        <v>29</v>
      </c>
      <c r="H123" s="4">
        <v>4389.24</v>
      </c>
      <c r="I123" s="4">
        <v>4856.2199999999903</v>
      </c>
      <c r="J123" t="s">
        <v>17</v>
      </c>
      <c r="K123" s="2">
        <v>0.15</v>
      </c>
      <c r="L123" t="s">
        <v>18</v>
      </c>
      <c r="M123" t="s">
        <v>22</v>
      </c>
      <c r="N123" t="s">
        <v>40</v>
      </c>
      <c r="O123" s="5">
        <f t="shared" si="1"/>
        <v>5603.7599999998856</v>
      </c>
    </row>
    <row r="124" spans="1:15" x14ac:dyDescent="0.35">
      <c r="A124">
        <v>1001</v>
      </c>
      <c r="B124" s="1">
        <v>45242</v>
      </c>
      <c r="C124" t="s">
        <v>42</v>
      </c>
      <c r="D124" t="s">
        <v>15</v>
      </c>
      <c r="E124" s="4">
        <v>715.81</v>
      </c>
      <c r="F124">
        <v>8</v>
      </c>
      <c r="G124" t="s">
        <v>35</v>
      </c>
      <c r="H124" s="4">
        <v>3657.91</v>
      </c>
      <c r="I124" s="4">
        <v>3729.27</v>
      </c>
      <c r="J124" t="s">
        <v>30</v>
      </c>
      <c r="K124" s="2">
        <v>0.09</v>
      </c>
      <c r="L124" t="s">
        <v>27</v>
      </c>
      <c r="M124" t="s">
        <v>22</v>
      </c>
      <c r="N124" t="s">
        <v>49</v>
      </c>
      <c r="O124" s="5">
        <f t="shared" si="1"/>
        <v>570.88000000000102</v>
      </c>
    </row>
    <row r="125" spans="1:15" x14ac:dyDescent="0.35">
      <c r="A125">
        <v>1008</v>
      </c>
      <c r="B125" s="1">
        <v>45212</v>
      </c>
      <c r="C125" t="s">
        <v>38</v>
      </c>
      <c r="D125" t="s">
        <v>21</v>
      </c>
      <c r="E125" s="4">
        <v>1558.3</v>
      </c>
      <c r="F125">
        <v>24</v>
      </c>
      <c r="G125" t="s">
        <v>35</v>
      </c>
      <c r="H125" s="4">
        <v>1542.24</v>
      </c>
      <c r="I125" s="4">
        <v>1739.45</v>
      </c>
      <c r="J125" t="s">
        <v>17</v>
      </c>
      <c r="K125" s="2">
        <v>0.21</v>
      </c>
      <c r="L125" t="s">
        <v>27</v>
      </c>
      <c r="M125" t="s">
        <v>22</v>
      </c>
      <c r="N125" t="s">
        <v>41</v>
      </c>
      <c r="O125" s="5">
        <f t="shared" si="1"/>
        <v>4733.0400000000009</v>
      </c>
    </row>
    <row r="126" spans="1:15" x14ac:dyDescent="0.35">
      <c r="A126">
        <v>1088</v>
      </c>
      <c r="B126" s="1">
        <v>45217</v>
      </c>
      <c r="C126" t="s">
        <v>38</v>
      </c>
      <c r="D126" t="s">
        <v>21</v>
      </c>
      <c r="E126" s="4">
        <v>177.63</v>
      </c>
      <c r="F126">
        <v>16</v>
      </c>
      <c r="G126" t="s">
        <v>16</v>
      </c>
      <c r="H126" s="4">
        <v>3016.9</v>
      </c>
      <c r="I126" s="4">
        <v>3040.73</v>
      </c>
      <c r="J126" t="s">
        <v>30</v>
      </c>
      <c r="K126" s="2">
        <v>0.26</v>
      </c>
      <c r="L126" t="s">
        <v>27</v>
      </c>
      <c r="M126" t="s">
        <v>22</v>
      </c>
      <c r="N126" t="s">
        <v>41</v>
      </c>
      <c r="O126" s="5">
        <f t="shared" si="1"/>
        <v>381.27999999999884</v>
      </c>
    </row>
    <row r="127" spans="1:15" x14ac:dyDescent="0.35">
      <c r="A127">
        <v>1063</v>
      </c>
      <c r="B127" s="1">
        <v>45139</v>
      </c>
      <c r="C127" t="s">
        <v>14</v>
      </c>
      <c r="D127" t="s">
        <v>25</v>
      </c>
      <c r="E127" s="4">
        <v>6346.13</v>
      </c>
      <c r="F127">
        <v>4</v>
      </c>
      <c r="G127" t="s">
        <v>35</v>
      </c>
      <c r="H127" s="4">
        <v>1046.26</v>
      </c>
      <c r="I127" s="4">
        <v>1475.29</v>
      </c>
      <c r="J127" t="s">
        <v>17</v>
      </c>
      <c r="K127" s="2">
        <v>0.09</v>
      </c>
      <c r="L127" t="s">
        <v>27</v>
      </c>
      <c r="M127" t="s">
        <v>22</v>
      </c>
      <c r="N127" t="s">
        <v>32</v>
      </c>
      <c r="O127" s="5">
        <f t="shared" si="1"/>
        <v>1716.12</v>
      </c>
    </row>
    <row r="128" spans="1:15" x14ac:dyDescent="0.35">
      <c r="A128">
        <v>1011</v>
      </c>
      <c r="B128" s="1">
        <v>45091</v>
      </c>
      <c r="C128" t="s">
        <v>42</v>
      </c>
      <c r="D128" t="s">
        <v>25</v>
      </c>
      <c r="E128" s="4">
        <v>4531.97</v>
      </c>
      <c r="F128">
        <v>38</v>
      </c>
      <c r="G128" t="s">
        <v>16</v>
      </c>
      <c r="H128" s="4">
        <v>4456.67</v>
      </c>
      <c r="I128" s="4">
        <v>4642.46</v>
      </c>
      <c r="J128" t="s">
        <v>30</v>
      </c>
      <c r="K128" s="2">
        <v>0.06</v>
      </c>
      <c r="L128" t="s">
        <v>27</v>
      </c>
      <c r="M128" t="s">
        <v>19</v>
      </c>
      <c r="N128" t="s">
        <v>43</v>
      </c>
      <c r="O128" s="5">
        <f t="shared" si="1"/>
        <v>7060.0199999999986</v>
      </c>
    </row>
    <row r="129" spans="1:15" x14ac:dyDescent="0.35">
      <c r="A129">
        <v>1081</v>
      </c>
      <c r="B129" s="1">
        <v>44931</v>
      </c>
      <c r="C129" t="s">
        <v>14</v>
      </c>
      <c r="D129" t="s">
        <v>25</v>
      </c>
      <c r="E129" s="4">
        <v>1429.32</v>
      </c>
      <c r="F129">
        <v>44</v>
      </c>
      <c r="G129" t="s">
        <v>26</v>
      </c>
      <c r="H129" s="4">
        <v>618.79</v>
      </c>
      <c r="I129" s="4">
        <v>938.04</v>
      </c>
      <c r="J129" t="s">
        <v>17</v>
      </c>
      <c r="K129" s="2">
        <v>0.03</v>
      </c>
      <c r="L129" t="s">
        <v>18</v>
      </c>
      <c r="M129" t="s">
        <v>19</v>
      </c>
      <c r="N129" t="s">
        <v>32</v>
      </c>
      <c r="O129" s="5">
        <f t="shared" si="1"/>
        <v>14047</v>
      </c>
    </row>
    <row r="130" spans="1:15" x14ac:dyDescent="0.35">
      <c r="A130">
        <v>1008</v>
      </c>
      <c r="B130" s="1">
        <v>45265</v>
      </c>
      <c r="C130" t="s">
        <v>33</v>
      </c>
      <c r="D130" t="s">
        <v>34</v>
      </c>
      <c r="E130" s="4">
        <v>9583.5499999999993</v>
      </c>
      <c r="F130">
        <v>27</v>
      </c>
      <c r="G130" t="s">
        <v>35</v>
      </c>
      <c r="H130" s="4">
        <v>68.989999999999995</v>
      </c>
      <c r="I130" s="4">
        <v>429.29</v>
      </c>
      <c r="J130" t="s">
        <v>17</v>
      </c>
      <c r="K130" s="2">
        <v>0.18</v>
      </c>
      <c r="L130" t="s">
        <v>31</v>
      </c>
      <c r="M130" t="s">
        <v>22</v>
      </c>
      <c r="N130" t="s">
        <v>36</v>
      </c>
      <c r="O130" s="5">
        <f t="shared" ref="O130:O193" si="2">(I130-H130)*F130</f>
        <v>9728.1</v>
      </c>
    </row>
    <row r="131" spans="1:15" x14ac:dyDescent="0.35">
      <c r="A131">
        <v>1035</v>
      </c>
      <c r="B131" s="1">
        <v>45004</v>
      </c>
      <c r="C131" t="s">
        <v>14</v>
      </c>
      <c r="D131" t="s">
        <v>25</v>
      </c>
      <c r="E131" s="4">
        <v>5343.63</v>
      </c>
      <c r="F131">
        <v>9</v>
      </c>
      <c r="G131" t="s">
        <v>29</v>
      </c>
      <c r="H131" s="4">
        <v>2534.94</v>
      </c>
      <c r="I131" s="4">
        <v>2755.56</v>
      </c>
      <c r="J131" t="s">
        <v>17</v>
      </c>
      <c r="K131" s="2">
        <v>0.13</v>
      </c>
      <c r="L131" t="s">
        <v>31</v>
      </c>
      <c r="M131" t="s">
        <v>22</v>
      </c>
      <c r="N131" t="s">
        <v>32</v>
      </c>
      <c r="O131" s="5">
        <f t="shared" si="2"/>
        <v>1985.579999999999</v>
      </c>
    </row>
    <row r="132" spans="1:15" x14ac:dyDescent="0.35">
      <c r="A132">
        <v>1035</v>
      </c>
      <c r="B132" s="1">
        <v>44988</v>
      </c>
      <c r="C132" t="s">
        <v>14</v>
      </c>
      <c r="D132" t="s">
        <v>21</v>
      </c>
      <c r="E132" s="4">
        <v>2494.7399999999998</v>
      </c>
      <c r="F132">
        <v>47</v>
      </c>
      <c r="G132" t="s">
        <v>35</v>
      </c>
      <c r="H132" s="4">
        <v>2936.48</v>
      </c>
      <c r="I132" s="4">
        <v>3096.64</v>
      </c>
      <c r="J132" t="s">
        <v>30</v>
      </c>
      <c r="K132" s="2">
        <v>0.06</v>
      </c>
      <c r="L132" t="s">
        <v>27</v>
      </c>
      <c r="M132" t="s">
        <v>19</v>
      </c>
      <c r="N132" t="s">
        <v>23</v>
      </c>
      <c r="O132" s="5">
        <f t="shared" si="2"/>
        <v>7527.5199999999932</v>
      </c>
    </row>
    <row r="133" spans="1:15" x14ac:dyDescent="0.35">
      <c r="A133">
        <v>1033</v>
      </c>
      <c r="B133" s="1">
        <v>45058</v>
      </c>
      <c r="C133" t="s">
        <v>14</v>
      </c>
      <c r="D133" t="s">
        <v>15</v>
      </c>
      <c r="E133" s="4">
        <v>5055.9799999999996</v>
      </c>
      <c r="F133">
        <v>16</v>
      </c>
      <c r="G133" t="s">
        <v>16</v>
      </c>
      <c r="H133" s="4">
        <v>2915.88</v>
      </c>
      <c r="I133" s="4">
        <v>3397.36</v>
      </c>
      <c r="J133" t="s">
        <v>30</v>
      </c>
      <c r="K133" s="2">
        <v>0.2</v>
      </c>
      <c r="L133" t="s">
        <v>27</v>
      </c>
      <c r="M133" t="s">
        <v>22</v>
      </c>
      <c r="N133" t="s">
        <v>20</v>
      </c>
      <c r="O133" s="5">
        <f t="shared" si="2"/>
        <v>7703.68</v>
      </c>
    </row>
    <row r="134" spans="1:15" x14ac:dyDescent="0.35">
      <c r="A134">
        <v>1005</v>
      </c>
      <c r="B134" s="1">
        <v>45015</v>
      </c>
      <c r="C134" t="s">
        <v>42</v>
      </c>
      <c r="D134" t="s">
        <v>34</v>
      </c>
      <c r="E134" s="4">
        <v>6828.24</v>
      </c>
      <c r="F134">
        <v>12</v>
      </c>
      <c r="G134" t="s">
        <v>35</v>
      </c>
      <c r="H134" s="4">
        <v>319.83</v>
      </c>
      <c r="I134" s="4">
        <v>802.43</v>
      </c>
      <c r="J134" t="s">
        <v>30</v>
      </c>
      <c r="K134" s="2">
        <v>0.04</v>
      </c>
      <c r="L134" t="s">
        <v>31</v>
      </c>
      <c r="M134" t="s">
        <v>22</v>
      </c>
      <c r="N134" t="s">
        <v>52</v>
      </c>
      <c r="O134" s="5">
        <f t="shared" si="2"/>
        <v>5791.2</v>
      </c>
    </row>
    <row r="135" spans="1:15" x14ac:dyDescent="0.35">
      <c r="A135">
        <v>1041</v>
      </c>
      <c r="B135" s="1">
        <v>45163</v>
      </c>
      <c r="C135" t="s">
        <v>14</v>
      </c>
      <c r="D135" t="s">
        <v>25</v>
      </c>
      <c r="E135" s="4">
        <v>854.77</v>
      </c>
      <c r="F135">
        <v>31</v>
      </c>
      <c r="G135" t="s">
        <v>26</v>
      </c>
      <c r="H135" s="4">
        <v>1604.52</v>
      </c>
      <c r="I135" s="4">
        <v>1756.34</v>
      </c>
      <c r="J135" t="s">
        <v>17</v>
      </c>
      <c r="K135" s="2">
        <v>0.17</v>
      </c>
      <c r="L135" t="s">
        <v>18</v>
      </c>
      <c r="M135" t="s">
        <v>22</v>
      </c>
      <c r="N135" t="s">
        <v>32</v>
      </c>
      <c r="O135" s="5">
        <f t="shared" si="2"/>
        <v>4706.4199999999983</v>
      </c>
    </row>
    <row r="136" spans="1:15" x14ac:dyDescent="0.35">
      <c r="A136">
        <v>1028</v>
      </c>
      <c r="B136" s="1">
        <v>44968</v>
      </c>
      <c r="C136" t="s">
        <v>42</v>
      </c>
      <c r="D136" t="s">
        <v>34</v>
      </c>
      <c r="E136" s="4">
        <v>2819.57</v>
      </c>
      <c r="F136">
        <v>24</v>
      </c>
      <c r="G136" t="s">
        <v>29</v>
      </c>
      <c r="H136" s="4">
        <v>2521.0300000000002</v>
      </c>
      <c r="I136" s="4">
        <v>2766.05</v>
      </c>
      <c r="J136" t="s">
        <v>17</v>
      </c>
      <c r="K136" s="2">
        <v>0.16</v>
      </c>
      <c r="L136" t="s">
        <v>27</v>
      </c>
      <c r="M136" t="s">
        <v>22</v>
      </c>
      <c r="N136" t="s">
        <v>52</v>
      </c>
      <c r="O136" s="5">
        <f t="shared" si="2"/>
        <v>5880.48</v>
      </c>
    </row>
    <row r="137" spans="1:15" x14ac:dyDescent="0.35">
      <c r="A137">
        <v>1007</v>
      </c>
      <c r="B137" s="1">
        <v>45015</v>
      </c>
      <c r="C137" t="s">
        <v>24</v>
      </c>
      <c r="D137" t="s">
        <v>34</v>
      </c>
      <c r="E137" s="4">
        <v>8088.96</v>
      </c>
      <c r="F137">
        <v>14</v>
      </c>
      <c r="G137" t="s">
        <v>16</v>
      </c>
      <c r="H137" s="4">
        <v>1122.07</v>
      </c>
      <c r="I137" s="4">
        <v>1608.76</v>
      </c>
      <c r="J137" t="s">
        <v>30</v>
      </c>
      <c r="K137" s="2">
        <v>0.22</v>
      </c>
      <c r="L137" t="s">
        <v>18</v>
      </c>
      <c r="M137" t="s">
        <v>22</v>
      </c>
      <c r="N137" t="s">
        <v>50</v>
      </c>
      <c r="O137" s="5">
        <f t="shared" si="2"/>
        <v>6813.6600000000008</v>
      </c>
    </row>
    <row r="138" spans="1:15" x14ac:dyDescent="0.35">
      <c r="A138">
        <v>1073</v>
      </c>
      <c r="B138" s="1">
        <v>45222</v>
      </c>
      <c r="C138" t="s">
        <v>33</v>
      </c>
      <c r="D138" t="s">
        <v>25</v>
      </c>
      <c r="E138" s="4">
        <v>4650.68</v>
      </c>
      <c r="F138">
        <v>45</v>
      </c>
      <c r="G138" t="s">
        <v>29</v>
      </c>
      <c r="H138" s="4">
        <v>4369.5</v>
      </c>
      <c r="I138" s="4">
        <v>4381.8900000000003</v>
      </c>
      <c r="J138" t="s">
        <v>17</v>
      </c>
      <c r="K138" s="2">
        <v>0.02</v>
      </c>
      <c r="L138" t="s">
        <v>31</v>
      </c>
      <c r="M138" t="s">
        <v>22</v>
      </c>
      <c r="N138" t="s">
        <v>44</v>
      </c>
      <c r="O138" s="5">
        <f t="shared" si="2"/>
        <v>557.55000000001473</v>
      </c>
    </row>
    <row r="139" spans="1:15" x14ac:dyDescent="0.35">
      <c r="A139">
        <v>1072</v>
      </c>
      <c r="B139" s="1">
        <v>45254</v>
      </c>
      <c r="C139" t="s">
        <v>42</v>
      </c>
      <c r="D139" t="s">
        <v>34</v>
      </c>
      <c r="E139" s="4">
        <v>5511.11</v>
      </c>
      <c r="F139">
        <v>25</v>
      </c>
      <c r="G139" t="s">
        <v>29</v>
      </c>
      <c r="H139" s="4">
        <v>481.19</v>
      </c>
      <c r="I139" s="4">
        <v>693.4</v>
      </c>
      <c r="J139" t="s">
        <v>30</v>
      </c>
      <c r="K139" s="2">
        <v>0.27</v>
      </c>
      <c r="L139" t="s">
        <v>31</v>
      </c>
      <c r="M139" t="s">
        <v>22</v>
      </c>
      <c r="N139" t="s">
        <v>52</v>
      </c>
      <c r="O139" s="5">
        <f t="shared" si="2"/>
        <v>5305.2499999999991</v>
      </c>
    </row>
    <row r="140" spans="1:15" x14ac:dyDescent="0.35">
      <c r="A140">
        <v>1012</v>
      </c>
      <c r="B140" s="1">
        <v>45221</v>
      </c>
      <c r="C140" t="s">
        <v>24</v>
      </c>
      <c r="D140" t="s">
        <v>15</v>
      </c>
      <c r="E140" s="4">
        <v>4384.88</v>
      </c>
      <c r="F140">
        <v>34</v>
      </c>
      <c r="G140" t="s">
        <v>16</v>
      </c>
      <c r="H140" s="4">
        <v>2462.5500000000002</v>
      </c>
      <c r="I140" s="4">
        <v>2521.77</v>
      </c>
      <c r="J140" t="s">
        <v>30</v>
      </c>
      <c r="K140" s="2">
        <v>0.21</v>
      </c>
      <c r="L140" t="s">
        <v>27</v>
      </c>
      <c r="M140" t="s">
        <v>22</v>
      </c>
      <c r="N140" t="s">
        <v>45</v>
      </c>
      <c r="O140" s="5">
        <f t="shared" si="2"/>
        <v>2013.4799999999932</v>
      </c>
    </row>
    <row r="141" spans="1:15" x14ac:dyDescent="0.35">
      <c r="A141">
        <v>1034</v>
      </c>
      <c r="B141" s="1">
        <v>45030</v>
      </c>
      <c r="C141" t="s">
        <v>42</v>
      </c>
      <c r="D141" t="s">
        <v>21</v>
      </c>
      <c r="E141" s="4">
        <v>534.61</v>
      </c>
      <c r="F141">
        <v>3</v>
      </c>
      <c r="G141" t="s">
        <v>29</v>
      </c>
      <c r="H141" s="4">
        <v>3472.51</v>
      </c>
      <c r="I141" s="4">
        <v>3732</v>
      </c>
      <c r="J141" t="s">
        <v>30</v>
      </c>
      <c r="K141" s="2">
        <v>0.06</v>
      </c>
      <c r="L141" t="s">
        <v>18</v>
      </c>
      <c r="M141" t="s">
        <v>19</v>
      </c>
      <c r="N141" t="s">
        <v>51</v>
      </c>
      <c r="O141" s="5">
        <f t="shared" si="2"/>
        <v>778.46999999999935</v>
      </c>
    </row>
    <row r="142" spans="1:15" x14ac:dyDescent="0.35">
      <c r="A142">
        <v>1033</v>
      </c>
      <c r="B142" s="1">
        <v>44940</v>
      </c>
      <c r="C142" t="s">
        <v>42</v>
      </c>
      <c r="D142" t="s">
        <v>21</v>
      </c>
      <c r="E142" s="4">
        <v>1740.92</v>
      </c>
      <c r="F142">
        <v>24</v>
      </c>
      <c r="G142" t="s">
        <v>29</v>
      </c>
      <c r="H142" s="4">
        <v>1345.67</v>
      </c>
      <c r="I142" s="4">
        <v>1367.76</v>
      </c>
      <c r="J142" t="s">
        <v>30</v>
      </c>
      <c r="K142" s="2">
        <v>0.06</v>
      </c>
      <c r="L142" t="s">
        <v>27</v>
      </c>
      <c r="M142" t="s">
        <v>19</v>
      </c>
      <c r="N142" t="s">
        <v>51</v>
      </c>
      <c r="O142" s="5">
        <f t="shared" si="2"/>
        <v>530.15999999999804</v>
      </c>
    </row>
    <row r="143" spans="1:15" x14ac:dyDescent="0.35">
      <c r="A143">
        <v>1048</v>
      </c>
      <c r="B143" s="1">
        <v>45214</v>
      </c>
      <c r="C143" t="s">
        <v>33</v>
      </c>
      <c r="D143" t="s">
        <v>15</v>
      </c>
      <c r="E143" s="4">
        <v>4510.8599999999997</v>
      </c>
      <c r="F143">
        <v>42</v>
      </c>
      <c r="G143" t="s">
        <v>35</v>
      </c>
      <c r="H143" s="4">
        <v>3139.99</v>
      </c>
      <c r="I143" s="4">
        <v>3349.37</v>
      </c>
      <c r="J143" t="s">
        <v>17</v>
      </c>
      <c r="K143" s="2">
        <v>0.13</v>
      </c>
      <c r="L143" t="s">
        <v>31</v>
      </c>
      <c r="M143" t="s">
        <v>22</v>
      </c>
      <c r="N143" t="s">
        <v>53</v>
      </c>
      <c r="O143" s="5">
        <f t="shared" si="2"/>
        <v>8793.9600000000046</v>
      </c>
    </row>
    <row r="144" spans="1:15" x14ac:dyDescent="0.35">
      <c r="A144">
        <v>1023</v>
      </c>
      <c r="B144" s="1">
        <v>45105</v>
      </c>
      <c r="C144" t="s">
        <v>38</v>
      </c>
      <c r="D144" t="s">
        <v>34</v>
      </c>
      <c r="E144" s="4">
        <v>2170.94</v>
      </c>
      <c r="F144">
        <v>9</v>
      </c>
      <c r="G144" t="s">
        <v>29</v>
      </c>
      <c r="H144" s="4">
        <v>4155.46</v>
      </c>
      <c r="I144" s="4">
        <v>4273.6000000000004</v>
      </c>
      <c r="J144" t="s">
        <v>17</v>
      </c>
      <c r="K144" s="2">
        <v>0.25</v>
      </c>
      <c r="L144" t="s">
        <v>18</v>
      </c>
      <c r="M144" t="s">
        <v>22</v>
      </c>
      <c r="N144" t="s">
        <v>48</v>
      </c>
      <c r="O144" s="5">
        <f t="shared" si="2"/>
        <v>1063.2600000000029</v>
      </c>
    </row>
    <row r="145" spans="1:15" x14ac:dyDescent="0.35">
      <c r="A145">
        <v>1062</v>
      </c>
      <c r="B145" s="1">
        <v>45051</v>
      </c>
      <c r="C145" t="s">
        <v>38</v>
      </c>
      <c r="D145" t="s">
        <v>25</v>
      </c>
      <c r="E145" s="4">
        <v>594.79</v>
      </c>
      <c r="F145">
        <v>26</v>
      </c>
      <c r="G145" t="s">
        <v>29</v>
      </c>
      <c r="H145" s="4">
        <v>992.17</v>
      </c>
      <c r="I145" s="4">
        <v>1263.49</v>
      </c>
      <c r="J145" t="s">
        <v>17</v>
      </c>
      <c r="K145" s="2">
        <v>0.25</v>
      </c>
      <c r="L145" t="s">
        <v>27</v>
      </c>
      <c r="M145" t="s">
        <v>22</v>
      </c>
      <c r="N145" t="s">
        <v>39</v>
      </c>
      <c r="O145" s="5">
        <f t="shared" si="2"/>
        <v>7054.3200000000015</v>
      </c>
    </row>
    <row r="146" spans="1:15" x14ac:dyDescent="0.35">
      <c r="A146">
        <v>1088</v>
      </c>
      <c r="B146" s="1">
        <v>45279</v>
      </c>
      <c r="C146" t="s">
        <v>42</v>
      </c>
      <c r="D146" t="s">
        <v>34</v>
      </c>
      <c r="E146" s="4">
        <v>8452.1299999999992</v>
      </c>
      <c r="F146">
        <v>20</v>
      </c>
      <c r="G146" t="s">
        <v>29</v>
      </c>
      <c r="H146" s="4">
        <v>4590.24</v>
      </c>
      <c r="I146" s="4">
        <v>5088.28</v>
      </c>
      <c r="J146" t="s">
        <v>30</v>
      </c>
      <c r="K146" s="2">
        <v>0.16</v>
      </c>
      <c r="L146" t="s">
        <v>27</v>
      </c>
      <c r="M146" t="s">
        <v>22</v>
      </c>
      <c r="N146" t="s">
        <v>52</v>
      </c>
      <c r="O146" s="5">
        <f t="shared" si="2"/>
        <v>9960.7999999999993</v>
      </c>
    </row>
    <row r="147" spans="1:15" x14ac:dyDescent="0.35">
      <c r="A147">
        <v>1037</v>
      </c>
      <c r="B147" s="1">
        <v>44949</v>
      </c>
      <c r="C147" t="s">
        <v>14</v>
      </c>
      <c r="D147" t="s">
        <v>15</v>
      </c>
      <c r="E147" s="4">
        <v>9813.81</v>
      </c>
      <c r="F147">
        <v>40</v>
      </c>
      <c r="G147" t="s">
        <v>29</v>
      </c>
      <c r="H147" s="4">
        <v>2790.11</v>
      </c>
      <c r="I147" s="4">
        <v>3192.37</v>
      </c>
      <c r="J147" t="s">
        <v>17</v>
      </c>
      <c r="K147" s="2">
        <v>0.26</v>
      </c>
      <c r="L147" t="s">
        <v>27</v>
      </c>
      <c r="M147" t="s">
        <v>19</v>
      </c>
      <c r="N147" t="s">
        <v>20</v>
      </c>
      <c r="O147" s="5">
        <f t="shared" si="2"/>
        <v>16090.399999999991</v>
      </c>
    </row>
    <row r="148" spans="1:15" x14ac:dyDescent="0.35">
      <c r="A148">
        <v>1099</v>
      </c>
      <c r="B148" s="1">
        <v>44989</v>
      </c>
      <c r="C148" t="s">
        <v>24</v>
      </c>
      <c r="D148" t="s">
        <v>34</v>
      </c>
      <c r="E148" s="4">
        <v>7952.11</v>
      </c>
      <c r="F148">
        <v>10</v>
      </c>
      <c r="G148" t="s">
        <v>16</v>
      </c>
      <c r="H148" s="4">
        <v>1531.2</v>
      </c>
      <c r="I148" s="4">
        <v>1955.56</v>
      </c>
      <c r="J148" t="s">
        <v>30</v>
      </c>
      <c r="K148" s="2">
        <v>0</v>
      </c>
      <c r="L148" t="s">
        <v>31</v>
      </c>
      <c r="M148" t="s">
        <v>19</v>
      </c>
      <c r="N148" t="s">
        <v>50</v>
      </c>
      <c r="O148" s="5">
        <f t="shared" si="2"/>
        <v>4243.5999999999985</v>
      </c>
    </row>
    <row r="149" spans="1:15" x14ac:dyDescent="0.35">
      <c r="A149">
        <v>1044</v>
      </c>
      <c r="B149" s="1">
        <v>45069</v>
      </c>
      <c r="C149" t="s">
        <v>14</v>
      </c>
      <c r="D149" t="s">
        <v>21</v>
      </c>
      <c r="E149" s="4">
        <v>8552.4699999999993</v>
      </c>
      <c r="F149">
        <v>19</v>
      </c>
      <c r="G149" t="s">
        <v>26</v>
      </c>
      <c r="H149" s="4">
        <v>2182.75</v>
      </c>
      <c r="I149" s="4">
        <v>2504.0299999999902</v>
      </c>
      <c r="J149" t="s">
        <v>30</v>
      </c>
      <c r="K149" s="2">
        <v>0.01</v>
      </c>
      <c r="L149" t="s">
        <v>27</v>
      </c>
      <c r="M149" t="s">
        <v>19</v>
      </c>
      <c r="N149" t="s">
        <v>23</v>
      </c>
      <c r="O149" s="5">
        <f t="shared" si="2"/>
        <v>6104.3199999998142</v>
      </c>
    </row>
    <row r="150" spans="1:15" x14ac:dyDescent="0.35">
      <c r="A150">
        <v>1086</v>
      </c>
      <c r="B150" s="1">
        <v>45079</v>
      </c>
      <c r="C150" t="s">
        <v>14</v>
      </c>
      <c r="D150" t="s">
        <v>34</v>
      </c>
      <c r="E150" s="4">
        <v>2495.5700000000002</v>
      </c>
      <c r="F150">
        <v>3</v>
      </c>
      <c r="G150" t="s">
        <v>35</v>
      </c>
      <c r="H150" s="4">
        <v>1595.35</v>
      </c>
      <c r="I150" s="4">
        <v>1625.70999999999</v>
      </c>
      <c r="J150" t="s">
        <v>30</v>
      </c>
      <c r="K150" s="2">
        <v>0.27</v>
      </c>
      <c r="L150" t="s">
        <v>18</v>
      </c>
      <c r="M150" t="s">
        <v>19</v>
      </c>
      <c r="N150" t="s">
        <v>46</v>
      </c>
      <c r="O150" s="5">
        <f t="shared" si="2"/>
        <v>91.079999999970369</v>
      </c>
    </row>
    <row r="151" spans="1:15" x14ac:dyDescent="0.35">
      <c r="A151">
        <v>1091</v>
      </c>
      <c r="B151" s="1">
        <v>45071</v>
      </c>
      <c r="C151" t="s">
        <v>42</v>
      </c>
      <c r="D151" t="s">
        <v>15</v>
      </c>
      <c r="E151" s="4">
        <v>9610.2099999999991</v>
      </c>
      <c r="F151">
        <v>24</v>
      </c>
      <c r="G151" t="s">
        <v>29</v>
      </c>
      <c r="H151" s="4">
        <v>3639.3</v>
      </c>
      <c r="I151" s="4">
        <v>3750.63</v>
      </c>
      <c r="J151" t="s">
        <v>30</v>
      </c>
      <c r="K151" s="2">
        <v>0.23</v>
      </c>
      <c r="L151" t="s">
        <v>27</v>
      </c>
      <c r="M151" t="s">
        <v>22</v>
      </c>
      <c r="N151" t="s">
        <v>49</v>
      </c>
      <c r="O151" s="5">
        <f t="shared" si="2"/>
        <v>2671.9199999999983</v>
      </c>
    </row>
    <row r="152" spans="1:15" x14ac:dyDescent="0.35">
      <c r="A152">
        <v>1035</v>
      </c>
      <c r="B152" s="1">
        <v>45151</v>
      </c>
      <c r="C152" t="s">
        <v>42</v>
      </c>
      <c r="D152" t="s">
        <v>21</v>
      </c>
      <c r="E152" s="4">
        <v>2049.56</v>
      </c>
      <c r="F152">
        <v>5</v>
      </c>
      <c r="G152" t="s">
        <v>29</v>
      </c>
      <c r="H152" s="4">
        <v>3991.69</v>
      </c>
      <c r="I152" s="4">
        <v>4454.97</v>
      </c>
      <c r="J152" t="s">
        <v>30</v>
      </c>
      <c r="K152" s="2">
        <v>0.14000000000000001</v>
      </c>
      <c r="L152" t="s">
        <v>31</v>
      </c>
      <c r="M152" t="s">
        <v>22</v>
      </c>
      <c r="N152" t="s">
        <v>51</v>
      </c>
      <c r="O152" s="5">
        <f t="shared" si="2"/>
        <v>2316.400000000001</v>
      </c>
    </row>
    <row r="153" spans="1:15" x14ac:dyDescent="0.35">
      <c r="A153">
        <v>1065</v>
      </c>
      <c r="B153" s="1">
        <v>45235</v>
      </c>
      <c r="C153" t="s">
        <v>42</v>
      </c>
      <c r="D153" t="s">
        <v>34</v>
      </c>
      <c r="E153" s="4">
        <v>9519.16</v>
      </c>
      <c r="F153">
        <v>3</v>
      </c>
      <c r="G153" t="s">
        <v>16</v>
      </c>
      <c r="H153" s="4">
        <v>4173.04</v>
      </c>
      <c r="I153" s="4">
        <v>4362.4399999999996</v>
      </c>
      <c r="J153" t="s">
        <v>30</v>
      </c>
      <c r="K153" s="2">
        <v>0.23</v>
      </c>
      <c r="L153" t="s">
        <v>27</v>
      </c>
      <c r="M153" t="s">
        <v>22</v>
      </c>
      <c r="N153" t="s">
        <v>52</v>
      </c>
      <c r="O153" s="5">
        <f t="shared" si="2"/>
        <v>568.19999999999891</v>
      </c>
    </row>
    <row r="154" spans="1:15" x14ac:dyDescent="0.35">
      <c r="A154">
        <v>1099</v>
      </c>
      <c r="B154" s="1">
        <v>45030</v>
      </c>
      <c r="C154" t="s">
        <v>42</v>
      </c>
      <c r="D154" t="s">
        <v>34</v>
      </c>
      <c r="E154" s="4">
        <v>9948.7099999999991</v>
      </c>
      <c r="F154">
        <v>27</v>
      </c>
      <c r="G154" t="s">
        <v>26</v>
      </c>
      <c r="H154" s="4">
        <v>4929.55</v>
      </c>
      <c r="I154" s="4">
        <v>4990.33</v>
      </c>
      <c r="J154" t="s">
        <v>17</v>
      </c>
      <c r="K154" s="2">
        <v>0.28999999999999998</v>
      </c>
      <c r="L154" t="s">
        <v>31</v>
      </c>
      <c r="M154" t="s">
        <v>19</v>
      </c>
      <c r="N154" t="s">
        <v>52</v>
      </c>
      <c r="O154" s="5">
        <f t="shared" si="2"/>
        <v>1641.0599999999931</v>
      </c>
    </row>
    <row r="155" spans="1:15" x14ac:dyDescent="0.35">
      <c r="A155">
        <v>1047</v>
      </c>
      <c r="B155" s="1">
        <v>45030</v>
      </c>
      <c r="C155" t="s">
        <v>38</v>
      </c>
      <c r="D155" t="s">
        <v>21</v>
      </c>
      <c r="E155" s="4">
        <v>7146.06</v>
      </c>
      <c r="F155">
        <v>16</v>
      </c>
      <c r="G155" t="s">
        <v>29</v>
      </c>
      <c r="H155" s="4">
        <v>3966.86</v>
      </c>
      <c r="I155" s="4">
        <v>4321.04</v>
      </c>
      <c r="J155" t="s">
        <v>17</v>
      </c>
      <c r="K155" s="2">
        <v>0.23</v>
      </c>
      <c r="L155" t="s">
        <v>31</v>
      </c>
      <c r="M155" t="s">
        <v>22</v>
      </c>
      <c r="N155" t="s">
        <v>41</v>
      </c>
      <c r="O155" s="5">
        <f t="shared" si="2"/>
        <v>5666.8799999999974</v>
      </c>
    </row>
    <row r="156" spans="1:15" x14ac:dyDescent="0.35">
      <c r="A156">
        <v>1078</v>
      </c>
      <c r="B156" s="1">
        <v>44965</v>
      </c>
      <c r="C156" t="s">
        <v>42</v>
      </c>
      <c r="D156" t="s">
        <v>25</v>
      </c>
      <c r="E156" s="4">
        <v>9813.32</v>
      </c>
      <c r="F156">
        <v>49</v>
      </c>
      <c r="G156" t="s">
        <v>16</v>
      </c>
      <c r="H156" s="4">
        <v>3026.85</v>
      </c>
      <c r="I156" s="4">
        <v>3183.58</v>
      </c>
      <c r="J156" t="s">
        <v>17</v>
      </c>
      <c r="K156" s="2">
        <v>0.25</v>
      </c>
      <c r="L156" t="s">
        <v>18</v>
      </c>
      <c r="M156" t="s">
        <v>22</v>
      </c>
      <c r="N156" t="s">
        <v>43</v>
      </c>
      <c r="O156" s="5">
        <f t="shared" si="2"/>
        <v>7679.77</v>
      </c>
    </row>
    <row r="157" spans="1:15" x14ac:dyDescent="0.35">
      <c r="A157">
        <v>1003</v>
      </c>
      <c r="B157" s="1">
        <v>45124</v>
      </c>
      <c r="C157" t="s">
        <v>38</v>
      </c>
      <c r="D157" t="s">
        <v>21</v>
      </c>
      <c r="E157" s="4">
        <v>5738.44</v>
      </c>
      <c r="F157">
        <v>15</v>
      </c>
      <c r="G157" t="s">
        <v>35</v>
      </c>
      <c r="H157" s="4">
        <v>1729.14</v>
      </c>
      <c r="I157" s="4">
        <v>1870.88</v>
      </c>
      <c r="J157" t="s">
        <v>17</v>
      </c>
      <c r="K157" s="2">
        <v>0.23</v>
      </c>
      <c r="L157" t="s">
        <v>18</v>
      </c>
      <c r="M157" t="s">
        <v>19</v>
      </c>
      <c r="N157" t="s">
        <v>41</v>
      </c>
      <c r="O157" s="5">
        <f t="shared" si="2"/>
        <v>2126.1000000000004</v>
      </c>
    </row>
    <row r="158" spans="1:15" x14ac:dyDescent="0.35">
      <c r="A158">
        <v>1001</v>
      </c>
      <c r="B158" s="1">
        <v>45060</v>
      </c>
      <c r="C158" t="s">
        <v>38</v>
      </c>
      <c r="D158" t="s">
        <v>25</v>
      </c>
      <c r="E158" s="4">
        <v>2669.46</v>
      </c>
      <c r="F158">
        <v>35</v>
      </c>
      <c r="G158" t="s">
        <v>35</v>
      </c>
      <c r="H158" s="4">
        <v>2745.75</v>
      </c>
      <c r="I158" s="4">
        <v>3244.76</v>
      </c>
      <c r="J158" t="s">
        <v>30</v>
      </c>
      <c r="K158" s="2">
        <v>0.05</v>
      </c>
      <c r="L158" t="s">
        <v>27</v>
      </c>
      <c r="M158" t="s">
        <v>19</v>
      </c>
      <c r="N158" t="s">
        <v>39</v>
      </c>
      <c r="O158" s="5">
        <f t="shared" si="2"/>
        <v>17465.350000000006</v>
      </c>
    </row>
    <row r="159" spans="1:15" x14ac:dyDescent="0.35">
      <c r="A159">
        <v>1005</v>
      </c>
      <c r="B159" s="1">
        <v>44993</v>
      </c>
      <c r="C159" t="s">
        <v>42</v>
      </c>
      <c r="D159" t="s">
        <v>15</v>
      </c>
      <c r="E159" s="4">
        <v>4426.26</v>
      </c>
      <c r="F159">
        <v>12</v>
      </c>
      <c r="G159" t="s">
        <v>29</v>
      </c>
      <c r="H159" s="4">
        <v>253.29</v>
      </c>
      <c r="I159" s="4">
        <v>683.78</v>
      </c>
      <c r="J159" t="s">
        <v>30</v>
      </c>
      <c r="K159" s="2">
        <v>0.25</v>
      </c>
      <c r="L159" t="s">
        <v>31</v>
      </c>
      <c r="M159" t="s">
        <v>19</v>
      </c>
      <c r="N159" t="s">
        <v>49</v>
      </c>
      <c r="O159" s="5">
        <f t="shared" si="2"/>
        <v>5165.88</v>
      </c>
    </row>
    <row r="160" spans="1:15" x14ac:dyDescent="0.35">
      <c r="A160">
        <v>1090</v>
      </c>
      <c r="B160" s="1">
        <v>45105</v>
      </c>
      <c r="C160" t="s">
        <v>33</v>
      </c>
      <c r="D160" t="s">
        <v>15</v>
      </c>
      <c r="E160" s="4">
        <v>5976.25</v>
      </c>
      <c r="F160">
        <v>41</v>
      </c>
      <c r="G160" t="s">
        <v>29</v>
      </c>
      <c r="H160" s="4">
        <v>3736.88</v>
      </c>
      <c r="I160" s="4">
        <v>3946.77</v>
      </c>
      <c r="J160" t="s">
        <v>17</v>
      </c>
      <c r="K160" s="2">
        <v>0.06</v>
      </c>
      <c r="L160" t="s">
        <v>31</v>
      </c>
      <c r="M160" t="s">
        <v>19</v>
      </c>
      <c r="N160" t="s">
        <v>53</v>
      </c>
      <c r="O160" s="5">
        <f t="shared" si="2"/>
        <v>8605.4899999999943</v>
      </c>
    </row>
    <row r="161" spans="1:15" x14ac:dyDescent="0.35">
      <c r="A161">
        <v>1014</v>
      </c>
      <c r="B161" s="1">
        <v>44968</v>
      </c>
      <c r="C161" t="s">
        <v>24</v>
      </c>
      <c r="D161" t="s">
        <v>21</v>
      </c>
      <c r="E161" s="4">
        <v>823.51</v>
      </c>
      <c r="F161">
        <v>44</v>
      </c>
      <c r="G161" t="s">
        <v>26</v>
      </c>
      <c r="H161" s="4">
        <v>2257.48</v>
      </c>
      <c r="I161" s="4">
        <v>2747.81</v>
      </c>
      <c r="J161" t="s">
        <v>17</v>
      </c>
      <c r="K161" s="2">
        <v>0.27</v>
      </c>
      <c r="L161" t="s">
        <v>18</v>
      </c>
      <c r="M161" t="s">
        <v>19</v>
      </c>
      <c r="N161" t="s">
        <v>47</v>
      </c>
      <c r="O161" s="5">
        <f t="shared" si="2"/>
        <v>21574.519999999997</v>
      </c>
    </row>
    <row r="162" spans="1:15" x14ac:dyDescent="0.35">
      <c r="A162">
        <v>1027</v>
      </c>
      <c r="B162" s="1">
        <v>44941</v>
      </c>
      <c r="C162" t="s">
        <v>14</v>
      </c>
      <c r="D162" t="s">
        <v>21</v>
      </c>
      <c r="E162" s="4">
        <v>6261.2</v>
      </c>
      <c r="F162">
        <v>26</v>
      </c>
      <c r="G162" t="s">
        <v>26</v>
      </c>
      <c r="H162" s="4">
        <v>149.11000000000001</v>
      </c>
      <c r="I162" s="4">
        <v>477.67</v>
      </c>
      <c r="J162" t="s">
        <v>17</v>
      </c>
      <c r="K162" s="2">
        <v>0.14000000000000001</v>
      </c>
      <c r="L162" t="s">
        <v>18</v>
      </c>
      <c r="M162" t="s">
        <v>22</v>
      </c>
      <c r="N162" t="s">
        <v>23</v>
      </c>
      <c r="O162" s="5">
        <f t="shared" si="2"/>
        <v>8542.56</v>
      </c>
    </row>
    <row r="163" spans="1:15" x14ac:dyDescent="0.35">
      <c r="A163">
        <v>1009</v>
      </c>
      <c r="B163" s="1">
        <v>45037</v>
      </c>
      <c r="C163" t="s">
        <v>38</v>
      </c>
      <c r="D163" t="s">
        <v>15</v>
      </c>
      <c r="E163" s="4">
        <v>9813.66</v>
      </c>
      <c r="F163">
        <v>47</v>
      </c>
      <c r="G163" t="s">
        <v>29</v>
      </c>
      <c r="H163" s="4">
        <v>359.41</v>
      </c>
      <c r="I163" s="4">
        <v>733</v>
      </c>
      <c r="J163" t="s">
        <v>17</v>
      </c>
      <c r="K163" s="2">
        <v>0.2</v>
      </c>
      <c r="L163" t="s">
        <v>27</v>
      </c>
      <c r="M163" t="s">
        <v>22</v>
      </c>
      <c r="N163" t="s">
        <v>40</v>
      </c>
      <c r="O163" s="5">
        <f t="shared" si="2"/>
        <v>17558.73</v>
      </c>
    </row>
    <row r="164" spans="1:15" x14ac:dyDescent="0.35">
      <c r="A164">
        <v>1079</v>
      </c>
      <c r="B164" s="1">
        <v>45083</v>
      </c>
      <c r="C164" t="s">
        <v>24</v>
      </c>
      <c r="D164" t="s">
        <v>25</v>
      </c>
      <c r="E164" s="4">
        <v>1982.07</v>
      </c>
      <c r="F164">
        <v>34</v>
      </c>
      <c r="G164" t="s">
        <v>16</v>
      </c>
      <c r="H164" s="4">
        <v>1967.96</v>
      </c>
      <c r="I164" s="4">
        <v>1993.4</v>
      </c>
      <c r="J164" t="s">
        <v>17</v>
      </c>
      <c r="K164" s="2">
        <v>0.15</v>
      </c>
      <c r="L164" t="s">
        <v>31</v>
      </c>
      <c r="M164" t="s">
        <v>19</v>
      </c>
      <c r="N164" t="s">
        <v>28</v>
      </c>
      <c r="O164" s="5">
        <f t="shared" si="2"/>
        <v>864.96000000000186</v>
      </c>
    </row>
    <row r="165" spans="1:15" x14ac:dyDescent="0.35">
      <c r="A165">
        <v>1015</v>
      </c>
      <c r="B165" s="1">
        <v>45215</v>
      </c>
      <c r="C165" t="s">
        <v>33</v>
      </c>
      <c r="D165" t="s">
        <v>15</v>
      </c>
      <c r="E165" s="4">
        <v>7946.69</v>
      </c>
      <c r="F165">
        <v>23</v>
      </c>
      <c r="G165" t="s">
        <v>26</v>
      </c>
      <c r="H165" s="4">
        <v>2937.94</v>
      </c>
      <c r="I165" s="4">
        <v>3007.53</v>
      </c>
      <c r="J165" t="s">
        <v>17</v>
      </c>
      <c r="K165" s="2">
        <v>0.03</v>
      </c>
      <c r="L165" t="s">
        <v>18</v>
      </c>
      <c r="M165" t="s">
        <v>22</v>
      </c>
      <c r="N165" t="s">
        <v>53</v>
      </c>
      <c r="O165" s="5">
        <f t="shared" si="2"/>
        <v>1600.5700000000033</v>
      </c>
    </row>
    <row r="166" spans="1:15" x14ac:dyDescent="0.35">
      <c r="A166">
        <v>1090</v>
      </c>
      <c r="B166" s="1">
        <v>45157</v>
      </c>
      <c r="C166" t="s">
        <v>14</v>
      </c>
      <c r="D166" t="s">
        <v>21</v>
      </c>
      <c r="E166" s="4">
        <v>9088.2000000000007</v>
      </c>
      <c r="F166">
        <v>31</v>
      </c>
      <c r="G166" t="s">
        <v>29</v>
      </c>
      <c r="H166" s="4">
        <v>2347.81</v>
      </c>
      <c r="I166" s="4">
        <v>2668.02</v>
      </c>
      <c r="J166" t="s">
        <v>17</v>
      </c>
      <c r="K166" s="2">
        <v>0.09</v>
      </c>
      <c r="L166" t="s">
        <v>27</v>
      </c>
      <c r="M166" t="s">
        <v>22</v>
      </c>
      <c r="N166" t="s">
        <v>23</v>
      </c>
      <c r="O166" s="5">
        <f t="shared" si="2"/>
        <v>9926.510000000002</v>
      </c>
    </row>
    <row r="167" spans="1:15" x14ac:dyDescent="0.35">
      <c r="A167">
        <v>1042</v>
      </c>
      <c r="B167" s="1">
        <v>45083</v>
      </c>
      <c r="C167" t="s">
        <v>14</v>
      </c>
      <c r="D167" t="s">
        <v>15</v>
      </c>
      <c r="E167" s="4">
        <v>9442.65</v>
      </c>
      <c r="F167">
        <v>20</v>
      </c>
      <c r="G167" t="s">
        <v>26</v>
      </c>
      <c r="H167" s="4">
        <v>3115.06</v>
      </c>
      <c r="I167" s="4">
        <v>3565.58</v>
      </c>
      <c r="J167" t="s">
        <v>17</v>
      </c>
      <c r="K167" s="2">
        <v>0.3</v>
      </c>
      <c r="L167" t="s">
        <v>31</v>
      </c>
      <c r="M167" t="s">
        <v>22</v>
      </c>
      <c r="N167" t="s">
        <v>20</v>
      </c>
      <c r="O167" s="5">
        <f t="shared" si="2"/>
        <v>9010.4</v>
      </c>
    </row>
    <row r="168" spans="1:15" x14ac:dyDescent="0.35">
      <c r="A168">
        <v>1077</v>
      </c>
      <c r="B168" s="1">
        <v>44964</v>
      </c>
      <c r="C168" t="s">
        <v>38</v>
      </c>
      <c r="D168" t="s">
        <v>21</v>
      </c>
      <c r="E168" s="4">
        <v>9605.34</v>
      </c>
      <c r="F168">
        <v>12</v>
      </c>
      <c r="G168" t="s">
        <v>29</v>
      </c>
      <c r="H168" s="4">
        <v>2427.46</v>
      </c>
      <c r="I168" s="4">
        <v>2743.09</v>
      </c>
      <c r="J168" t="s">
        <v>30</v>
      </c>
      <c r="K168" s="2">
        <v>0.28999999999999998</v>
      </c>
      <c r="L168" t="s">
        <v>31</v>
      </c>
      <c r="M168" t="s">
        <v>22</v>
      </c>
      <c r="N168" t="s">
        <v>41</v>
      </c>
      <c r="O168" s="5">
        <f t="shared" si="2"/>
        <v>3787.5600000000013</v>
      </c>
    </row>
    <row r="169" spans="1:15" x14ac:dyDescent="0.35">
      <c r="A169">
        <v>1051</v>
      </c>
      <c r="B169" s="1">
        <v>45023</v>
      </c>
      <c r="C169" t="s">
        <v>42</v>
      </c>
      <c r="D169" t="s">
        <v>21</v>
      </c>
      <c r="E169" s="4">
        <v>5262.45</v>
      </c>
      <c r="F169">
        <v>23</v>
      </c>
      <c r="G169" t="s">
        <v>35</v>
      </c>
      <c r="H169" s="4">
        <v>3325.43</v>
      </c>
      <c r="I169" s="4">
        <v>3401.1</v>
      </c>
      <c r="J169" t="s">
        <v>30</v>
      </c>
      <c r="K169" s="2">
        <v>0.1</v>
      </c>
      <c r="L169" t="s">
        <v>18</v>
      </c>
      <c r="M169" t="s">
        <v>19</v>
      </c>
      <c r="N169" t="s">
        <v>51</v>
      </c>
      <c r="O169" s="5">
        <f t="shared" si="2"/>
        <v>1740.4100000000017</v>
      </c>
    </row>
    <row r="170" spans="1:15" x14ac:dyDescent="0.35">
      <c r="A170">
        <v>1063</v>
      </c>
      <c r="B170" s="1">
        <v>45215</v>
      </c>
      <c r="C170" t="s">
        <v>33</v>
      </c>
      <c r="D170" t="s">
        <v>15</v>
      </c>
      <c r="E170" s="4">
        <v>9775.35</v>
      </c>
      <c r="F170">
        <v>4</v>
      </c>
      <c r="G170" t="s">
        <v>29</v>
      </c>
      <c r="H170" s="4">
        <v>1134.67</v>
      </c>
      <c r="I170" s="4">
        <v>1201.3900000000001</v>
      </c>
      <c r="J170" t="s">
        <v>30</v>
      </c>
      <c r="K170" s="2">
        <v>0.3</v>
      </c>
      <c r="L170" t="s">
        <v>27</v>
      </c>
      <c r="M170" t="s">
        <v>22</v>
      </c>
      <c r="N170" t="s">
        <v>53</v>
      </c>
      <c r="O170" s="5">
        <f t="shared" si="2"/>
        <v>266.88000000000011</v>
      </c>
    </row>
    <row r="171" spans="1:15" x14ac:dyDescent="0.35">
      <c r="A171">
        <v>1096</v>
      </c>
      <c r="B171" s="1">
        <v>45180</v>
      </c>
      <c r="C171" t="s">
        <v>38</v>
      </c>
      <c r="D171" t="s">
        <v>25</v>
      </c>
      <c r="E171" s="4">
        <v>7597.37</v>
      </c>
      <c r="F171">
        <v>23</v>
      </c>
      <c r="G171" t="s">
        <v>35</v>
      </c>
      <c r="H171" s="4">
        <v>608.57000000000005</v>
      </c>
      <c r="I171" s="4">
        <v>1032.22</v>
      </c>
      <c r="J171" t="s">
        <v>30</v>
      </c>
      <c r="K171" s="2">
        <v>0.25</v>
      </c>
      <c r="L171" t="s">
        <v>18</v>
      </c>
      <c r="M171" t="s">
        <v>22</v>
      </c>
      <c r="N171" t="s">
        <v>39</v>
      </c>
      <c r="O171" s="5">
        <f t="shared" si="2"/>
        <v>9743.9499999999989</v>
      </c>
    </row>
    <row r="172" spans="1:15" x14ac:dyDescent="0.35">
      <c r="A172">
        <v>1052</v>
      </c>
      <c r="B172" s="1">
        <v>45122</v>
      </c>
      <c r="C172" t="s">
        <v>33</v>
      </c>
      <c r="D172" t="s">
        <v>34</v>
      </c>
      <c r="E172" s="4">
        <v>1700.55</v>
      </c>
      <c r="F172">
        <v>48</v>
      </c>
      <c r="G172" t="s">
        <v>26</v>
      </c>
      <c r="H172" s="4">
        <v>3002.35</v>
      </c>
      <c r="I172" s="4">
        <v>3080.61</v>
      </c>
      <c r="J172" t="s">
        <v>17</v>
      </c>
      <c r="K172" s="2">
        <v>0.18</v>
      </c>
      <c r="L172" t="s">
        <v>27</v>
      </c>
      <c r="M172" t="s">
        <v>22</v>
      </c>
      <c r="N172" t="s">
        <v>36</v>
      </c>
      <c r="O172" s="5">
        <f t="shared" si="2"/>
        <v>3756.4800000000105</v>
      </c>
    </row>
    <row r="173" spans="1:15" x14ac:dyDescent="0.35">
      <c r="A173">
        <v>1096</v>
      </c>
      <c r="B173" s="1">
        <v>45012</v>
      </c>
      <c r="C173" t="s">
        <v>42</v>
      </c>
      <c r="D173" t="s">
        <v>15</v>
      </c>
      <c r="E173" s="4">
        <v>4821.3100000000004</v>
      </c>
      <c r="F173">
        <v>48</v>
      </c>
      <c r="G173" t="s">
        <v>29</v>
      </c>
      <c r="H173" s="4">
        <v>2449.21</v>
      </c>
      <c r="I173" s="4">
        <v>2714.12</v>
      </c>
      <c r="J173" t="s">
        <v>30</v>
      </c>
      <c r="K173" s="2">
        <v>0.01</v>
      </c>
      <c r="L173" t="s">
        <v>31</v>
      </c>
      <c r="M173" t="s">
        <v>19</v>
      </c>
      <c r="N173" t="s">
        <v>49</v>
      </c>
      <c r="O173" s="5">
        <f t="shared" si="2"/>
        <v>12715.679999999993</v>
      </c>
    </row>
    <row r="174" spans="1:15" x14ac:dyDescent="0.35">
      <c r="A174">
        <v>1004</v>
      </c>
      <c r="B174" s="1">
        <v>45248</v>
      </c>
      <c r="C174" t="s">
        <v>42</v>
      </c>
      <c r="D174" t="s">
        <v>34</v>
      </c>
      <c r="E174" s="4">
        <v>7211.48</v>
      </c>
      <c r="F174">
        <v>1</v>
      </c>
      <c r="G174" t="s">
        <v>26</v>
      </c>
      <c r="H174" s="4">
        <v>182.99</v>
      </c>
      <c r="I174" s="4">
        <v>211.18</v>
      </c>
      <c r="J174" t="s">
        <v>17</v>
      </c>
      <c r="K174" s="2">
        <v>0.27</v>
      </c>
      <c r="L174" t="s">
        <v>27</v>
      </c>
      <c r="M174" t="s">
        <v>22</v>
      </c>
      <c r="N174" t="s">
        <v>52</v>
      </c>
      <c r="O174" s="5">
        <f t="shared" si="2"/>
        <v>28.189999999999998</v>
      </c>
    </row>
    <row r="175" spans="1:15" x14ac:dyDescent="0.35">
      <c r="A175">
        <v>1094</v>
      </c>
      <c r="B175" s="1">
        <v>44936</v>
      </c>
      <c r="C175" t="s">
        <v>38</v>
      </c>
      <c r="D175" t="s">
        <v>15</v>
      </c>
      <c r="E175" s="4">
        <v>2548.67</v>
      </c>
      <c r="F175">
        <v>25</v>
      </c>
      <c r="G175" t="s">
        <v>35</v>
      </c>
      <c r="H175" s="4">
        <v>1933.39</v>
      </c>
      <c r="I175" s="4">
        <v>1982.92</v>
      </c>
      <c r="J175" t="s">
        <v>30</v>
      </c>
      <c r="K175" s="2">
        <v>0.17</v>
      </c>
      <c r="L175" t="s">
        <v>27</v>
      </c>
      <c r="M175" t="s">
        <v>19</v>
      </c>
      <c r="N175" t="s">
        <v>40</v>
      </c>
      <c r="O175" s="5">
        <f t="shared" si="2"/>
        <v>1238.2499999999993</v>
      </c>
    </row>
    <row r="176" spans="1:15" x14ac:dyDescent="0.35">
      <c r="A176">
        <v>1023</v>
      </c>
      <c r="B176" s="1">
        <v>44931</v>
      </c>
      <c r="C176" t="s">
        <v>42</v>
      </c>
      <c r="D176" t="s">
        <v>34</v>
      </c>
      <c r="E176" s="4">
        <v>6442.09</v>
      </c>
      <c r="F176">
        <v>2</v>
      </c>
      <c r="G176" t="s">
        <v>29</v>
      </c>
      <c r="H176" s="4">
        <v>575.32000000000005</v>
      </c>
      <c r="I176" s="4">
        <v>914.77</v>
      </c>
      <c r="J176" t="s">
        <v>17</v>
      </c>
      <c r="K176" s="2">
        <v>0.26</v>
      </c>
      <c r="L176" t="s">
        <v>27</v>
      </c>
      <c r="M176" t="s">
        <v>19</v>
      </c>
      <c r="N176" t="s">
        <v>52</v>
      </c>
      <c r="O176" s="5">
        <f t="shared" si="2"/>
        <v>678.89999999999986</v>
      </c>
    </row>
    <row r="177" spans="1:15" x14ac:dyDescent="0.35">
      <c r="A177">
        <v>1015</v>
      </c>
      <c r="B177" s="1">
        <v>45049</v>
      </c>
      <c r="C177" t="s">
        <v>24</v>
      </c>
      <c r="D177" t="s">
        <v>25</v>
      </c>
      <c r="E177" s="4">
        <v>6699.34</v>
      </c>
      <c r="F177">
        <v>30</v>
      </c>
      <c r="G177" t="s">
        <v>26</v>
      </c>
      <c r="H177" s="4">
        <v>2680.22</v>
      </c>
      <c r="I177" s="4">
        <v>3027.9199999999901</v>
      </c>
      <c r="J177" t="s">
        <v>17</v>
      </c>
      <c r="K177" s="2">
        <v>0.25</v>
      </c>
      <c r="L177" t="s">
        <v>27</v>
      </c>
      <c r="M177" t="s">
        <v>19</v>
      </c>
      <c r="N177" t="s">
        <v>28</v>
      </c>
      <c r="O177" s="5">
        <f t="shared" si="2"/>
        <v>10430.999999999709</v>
      </c>
    </row>
    <row r="178" spans="1:15" x14ac:dyDescent="0.35">
      <c r="A178">
        <v>1043</v>
      </c>
      <c r="B178" s="1">
        <v>45256</v>
      </c>
      <c r="C178" t="s">
        <v>14</v>
      </c>
      <c r="D178" t="s">
        <v>25</v>
      </c>
      <c r="E178" s="4">
        <v>1710.73</v>
      </c>
      <c r="F178">
        <v>3</v>
      </c>
      <c r="G178" t="s">
        <v>35</v>
      </c>
      <c r="H178" s="4">
        <v>2009.1</v>
      </c>
      <c r="I178" s="4">
        <v>2186.42</v>
      </c>
      <c r="J178" t="s">
        <v>30</v>
      </c>
      <c r="K178" s="2">
        <v>0.25</v>
      </c>
      <c r="L178" t="s">
        <v>27</v>
      </c>
      <c r="M178" t="s">
        <v>19</v>
      </c>
      <c r="N178" t="s">
        <v>32</v>
      </c>
      <c r="O178" s="5">
        <f t="shared" si="2"/>
        <v>531.96000000000049</v>
      </c>
    </row>
    <row r="179" spans="1:15" x14ac:dyDescent="0.35">
      <c r="A179">
        <v>1029</v>
      </c>
      <c r="B179" s="1">
        <v>45279</v>
      </c>
      <c r="C179" t="s">
        <v>38</v>
      </c>
      <c r="D179" t="s">
        <v>15</v>
      </c>
      <c r="E179" s="4">
        <v>5694.34</v>
      </c>
      <c r="F179">
        <v>21</v>
      </c>
      <c r="G179" t="s">
        <v>26</v>
      </c>
      <c r="H179" s="4">
        <v>3085.1</v>
      </c>
      <c r="I179" s="4">
        <v>3200.75</v>
      </c>
      <c r="J179" t="s">
        <v>30</v>
      </c>
      <c r="K179" s="2">
        <v>0.21</v>
      </c>
      <c r="L179" t="s">
        <v>18</v>
      </c>
      <c r="M179" t="s">
        <v>22</v>
      </c>
      <c r="N179" t="s">
        <v>40</v>
      </c>
      <c r="O179" s="5">
        <f t="shared" si="2"/>
        <v>2428.6500000000019</v>
      </c>
    </row>
    <row r="180" spans="1:15" x14ac:dyDescent="0.35">
      <c r="A180">
        <v>1036</v>
      </c>
      <c r="B180" s="1">
        <v>45044</v>
      </c>
      <c r="C180" t="s">
        <v>33</v>
      </c>
      <c r="D180" t="s">
        <v>21</v>
      </c>
      <c r="E180" s="4">
        <v>7739.11</v>
      </c>
      <c r="F180">
        <v>25</v>
      </c>
      <c r="G180" t="s">
        <v>16</v>
      </c>
      <c r="H180" s="4">
        <v>4037.73</v>
      </c>
      <c r="I180" s="4">
        <v>4446.45</v>
      </c>
      <c r="J180" t="s">
        <v>17</v>
      </c>
      <c r="K180" s="2">
        <v>0.09</v>
      </c>
      <c r="L180" t="s">
        <v>27</v>
      </c>
      <c r="M180" t="s">
        <v>19</v>
      </c>
      <c r="N180" t="s">
        <v>37</v>
      </c>
      <c r="O180" s="5">
        <f t="shared" si="2"/>
        <v>10217.999999999995</v>
      </c>
    </row>
    <row r="181" spans="1:15" x14ac:dyDescent="0.35">
      <c r="A181">
        <v>1013</v>
      </c>
      <c r="B181" s="1">
        <v>45220</v>
      </c>
      <c r="C181" t="s">
        <v>24</v>
      </c>
      <c r="D181" t="s">
        <v>34</v>
      </c>
      <c r="E181" s="4">
        <v>5039.07</v>
      </c>
      <c r="F181">
        <v>20</v>
      </c>
      <c r="G181" t="s">
        <v>35</v>
      </c>
      <c r="H181" s="4">
        <v>1533.36</v>
      </c>
      <c r="I181" s="4">
        <v>1649.73999999999</v>
      </c>
      <c r="J181" t="s">
        <v>17</v>
      </c>
      <c r="K181" s="2">
        <v>0.1</v>
      </c>
      <c r="L181" t="s">
        <v>27</v>
      </c>
      <c r="M181" t="s">
        <v>19</v>
      </c>
      <c r="N181" t="s">
        <v>50</v>
      </c>
      <c r="O181" s="5">
        <f t="shared" si="2"/>
        <v>2327.5999999998021</v>
      </c>
    </row>
    <row r="182" spans="1:15" x14ac:dyDescent="0.35">
      <c r="A182">
        <v>1032</v>
      </c>
      <c r="B182" s="1">
        <v>45085</v>
      </c>
      <c r="C182" t="s">
        <v>38</v>
      </c>
      <c r="D182" t="s">
        <v>21</v>
      </c>
      <c r="E182" s="4">
        <v>219.82</v>
      </c>
      <c r="F182">
        <v>49</v>
      </c>
      <c r="G182" t="s">
        <v>35</v>
      </c>
      <c r="H182" s="4">
        <v>4812.41</v>
      </c>
      <c r="I182" s="4">
        <v>5088</v>
      </c>
      <c r="J182" t="s">
        <v>17</v>
      </c>
      <c r="K182" s="2">
        <v>0.09</v>
      </c>
      <c r="L182" t="s">
        <v>31</v>
      </c>
      <c r="M182" t="s">
        <v>19</v>
      </c>
      <c r="N182" t="s">
        <v>41</v>
      </c>
      <c r="O182" s="5">
        <f t="shared" si="2"/>
        <v>13503.910000000007</v>
      </c>
    </row>
    <row r="183" spans="1:15" x14ac:dyDescent="0.35">
      <c r="A183">
        <v>1071</v>
      </c>
      <c r="B183" s="1">
        <v>45229</v>
      </c>
      <c r="C183" t="s">
        <v>42</v>
      </c>
      <c r="D183" t="s">
        <v>21</v>
      </c>
      <c r="E183" s="4">
        <v>189.48</v>
      </c>
      <c r="F183">
        <v>22</v>
      </c>
      <c r="G183" t="s">
        <v>35</v>
      </c>
      <c r="H183" s="4">
        <v>2701.39</v>
      </c>
      <c r="I183" s="4">
        <v>3185.81</v>
      </c>
      <c r="J183" t="s">
        <v>30</v>
      </c>
      <c r="K183" s="2">
        <v>0.01</v>
      </c>
      <c r="L183" t="s">
        <v>27</v>
      </c>
      <c r="M183" t="s">
        <v>19</v>
      </c>
      <c r="N183" t="s">
        <v>51</v>
      </c>
      <c r="O183" s="5">
        <f t="shared" si="2"/>
        <v>10657.240000000002</v>
      </c>
    </row>
    <row r="184" spans="1:15" x14ac:dyDescent="0.35">
      <c r="A184">
        <v>1059</v>
      </c>
      <c r="B184" s="1">
        <v>45154</v>
      </c>
      <c r="C184" t="s">
        <v>42</v>
      </c>
      <c r="D184" t="s">
        <v>21</v>
      </c>
      <c r="E184" s="4">
        <v>3634.59</v>
      </c>
      <c r="F184">
        <v>21</v>
      </c>
      <c r="G184" t="s">
        <v>29</v>
      </c>
      <c r="H184" s="4">
        <v>3110.54</v>
      </c>
      <c r="I184" s="4">
        <v>3192.99</v>
      </c>
      <c r="J184" t="s">
        <v>30</v>
      </c>
      <c r="K184" s="2">
        <v>0.17</v>
      </c>
      <c r="L184" t="s">
        <v>31</v>
      </c>
      <c r="M184" t="s">
        <v>19</v>
      </c>
      <c r="N184" t="s">
        <v>51</v>
      </c>
      <c r="O184" s="5">
        <f t="shared" si="2"/>
        <v>1731.4499999999962</v>
      </c>
    </row>
    <row r="185" spans="1:15" x14ac:dyDescent="0.35">
      <c r="A185">
        <v>1086</v>
      </c>
      <c r="B185" s="1">
        <v>45291</v>
      </c>
      <c r="C185" t="s">
        <v>42</v>
      </c>
      <c r="D185" t="s">
        <v>25</v>
      </c>
      <c r="E185" s="4">
        <v>9269.32</v>
      </c>
      <c r="F185">
        <v>33</v>
      </c>
      <c r="G185" t="s">
        <v>29</v>
      </c>
      <c r="H185" s="4">
        <v>3419.33</v>
      </c>
      <c r="I185" s="4">
        <v>3890.3599999999901</v>
      </c>
      <c r="J185" t="s">
        <v>17</v>
      </c>
      <c r="K185" s="2">
        <v>0.21</v>
      </c>
      <c r="L185" t="s">
        <v>18</v>
      </c>
      <c r="M185" t="s">
        <v>22</v>
      </c>
      <c r="N185" t="s">
        <v>43</v>
      </c>
      <c r="O185" s="5">
        <f t="shared" si="2"/>
        <v>15543.989999999676</v>
      </c>
    </row>
    <row r="186" spans="1:15" x14ac:dyDescent="0.35">
      <c r="A186">
        <v>1028</v>
      </c>
      <c r="B186" s="1">
        <v>45142</v>
      </c>
      <c r="C186" t="s">
        <v>42</v>
      </c>
      <c r="D186" t="s">
        <v>15</v>
      </c>
      <c r="E186" s="4">
        <v>2363.9</v>
      </c>
      <c r="F186">
        <v>38</v>
      </c>
      <c r="G186" t="s">
        <v>29</v>
      </c>
      <c r="H186" s="4">
        <v>3350.32</v>
      </c>
      <c r="I186" s="4">
        <v>3449.94</v>
      </c>
      <c r="J186" t="s">
        <v>30</v>
      </c>
      <c r="K186" s="2">
        <v>0.26</v>
      </c>
      <c r="L186" t="s">
        <v>18</v>
      </c>
      <c r="M186" t="s">
        <v>19</v>
      </c>
      <c r="N186" t="s">
        <v>49</v>
      </c>
      <c r="O186" s="5">
        <f t="shared" si="2"/>
        <v>3785.5599999999959</v>
      </c>
    </row>
    <row r="187" spans="1:15" x14ac:dyDescent="0.35">
      <c r="A187">
        <v>1066</v>
      </c>
      <c r="B187" s="1">
        <v>45110</v>
      </c>
      <c r="C187" t="s">
        <v>33</v>
      </c>
      <c r="D187" t="s">
        <v>15</v>
      </c>
      <c r="E187" s="4">
        <v>6380.2</v>
      </c>
      <c r="F187">
        <v>15</v>
      </c>
      <c r="G187" t="s">
        <v>16</v>
      </c>
      <c r="H187" s="4">
        <v>2579.31</v>
      </c>
      <c r="I187" s="4">
        <v>2867.36</v>
      </c>
      <c r="J187" t="s">
        <v>17</v>
      </c>
      <c r="K187" s="2">
        <v>0.04</v>
      </c>
      <c r="L187" t="s">
        <v>27</v>
      </c>
      <c r="M187" t="s">
        <v>22</v>
      </c>
      <c r="N187" t="s">
        <v>53</v>
      </c>
      <c r="O187" s="5">
        <f t="shared" si="2"/>
        <v>4320.7500000000027</v>
      </c>
    </row>
    <row r="188" spans="1:15" x14ac:dyDescent="0.35">
      <c r="A188">
        <v>1042</v>
      </c>
      <c r="B188" s="1">
        <v>44941</v>
      </c>
      <c r="C188" t="s">
        <v>24</v>
      </c>
      <c r="D188" t="s">
        <v>25</v>
      </c>
      <c r="E188" s="4">
        <v>2298.5500000000002</v>
      </c>
      <c r="F188">
        <v>46</v>
      </c>
      <c r="G188" t="s">
        <v>16</v>
      </c>
      <c r="H188" s="4">
        <v>2172.38</v>
      </c>
      <c r="I188" s="4">
        <v>2367.11</v>
      </c>
      <c r="J188" t="s">
        <v>30</v>
      </c>
      <c r="K188" s="2">
        <v>0.16</v>
      </c>
      <c r="L188" t="s">
        <v>18</v>
      </c>
      <c r="M188" t="s">
        <v>22</v>
      </c>
      <c r="N188" t="s">
        <v>28</v>
      </c>
      <c r="O188" s="5">
        <f t="shared" si="2"/>
        <v>8957.5800000000017</v>
      </c>
    </row>
    <row r="189" spans="1:15" x14ac:dyDescent="0.35">
      <c r="A189">
        <v>1045</v>
      </c>
      <c r="B189" s="1">
        <v>45083</v>
      </c>
      <c r="C189" t="s">
        <v>14</v>
      </c>
      <c r="D189" t="s">
        <v>25</v>
      </c>
      <c r="E189" s="4">
        <v>3284.53</v>
      </c>
      <c r="F189">
        <v>15</v>
      </c>
      <c r="G189" t="s">
        <v>35</v>
      </c>
      <c r="H189" s="4">
        <v>316.22000000000003</v>
      </c>
      <c r="I189" s="4">
        <v>799.04</v>
      </c>
      <c r="J189" t="s">
        <v>30</v>
      </c>
      <c r="K189" s="2">
        <v>0</v>
      </c>
      <c r="L189" t="s">
        <v>27</v>
      </c>
      <c r="M189" t="s">
        <v>19</v>
      </c>
      <c r="N189" t="s">
        <v>32</v>
      </c>
      <c r="O189" s="5">
        <f t="shared" si="2"/>
        <v>7242.2999999999993</v>
      </c>
    </row>
    <row r="190" spans="1:15" x14ac:dyDescent="0.35">
      <c r="A190">
        <v>1062</v>
      </c>
      <c r="B190" s="1">
        <v>45062</v>
      </c>
      <c r="C190" t="s">
        <v>33</v>
      </c>
      <c r="D190" t="s">
        <v>15</v>
      </c>
      <c r="E190" s="4">
        <v>8495.6200000000008</v>
      </c>
      <c r="F190">
        <v>46</v>
      </c>
      <c r="G190" t="s">
        <v>16</v>
      </c>
      <c r="H190" s="4">
        <v>159.32</v>
      </c>
      <c r="I190" s="4">
        <v>303.36</v>
      </c>
      <c r="J190" t="s">
        <v>30</v>
      </c>
      <c r="K190" s="2">
        <v>0.03</v>
      </c>
      <c r="L190" t="s">
        <v>18</v>
      </c>
      <c r="M190" t="s">
        <v>22</v>
      </c>
      <c r="N190" t="s">
        <v>53</v>
      </c>
      <c r="O190" s="5">
        <f t="shared" si="2"/>
        <v>6625.8400000000011</v>
      </c>
    </row>
    <row r="191" spans="1:15" x14ac:dyDescent="0.35">
      <c r="A191">
        <v>1057</v>
      </c>
      <c r="B191" s="1">
        <v>45187</v>
      </c>
      <c r="C191" t="s">
        <v>33</v>
      </c>
      <c r="D191" t="s">
        <v>21</v>
      </c>
      <c r="E191" s="4">
        <v>7315.73</v>
      </c>
      <c r="F191">
        <v>25</v>
      </c>
      <c r="G191" t="s">
        <v>26</v>
      </c>
      <c r="H191" s="4">
        <v>1821.91</v>
      </c>
      <c r="I191" s="4">
        <v>2027.74</v>
      </c>
      <c r="J191" t="s">
        <v>30</v>
      </c>
      <c r="K191" s="2">
        <v>0.02</v>
      </c>
      <c r="L191" t="s">
        <v>27</v>
      </c>
      <c r="M191" t="s">
        <v>22</v>
      </c>
      <c r="N191" t="s">
        <v>37</v>
      </c>
      <c r="O191" s="5">
        <f t="shared" si="2"/>
        <v>5145.7499999999982</v>
      </c>
    </row>
    <row r="192" spans="1:15" x14ac:dyDescent="0.35">
      <c r="A192">
        <v>1006</v>
      </c>
      <c r="B192" s="1">
        <v>45083</v>
      </c>
      <c r="C192" t="s">
        <v>14</v>
      </c>
      <c r="D192" t="s">
        <v>34</v>
      </c>
      <c r="E192" s="4">
        <v>1044.45</v>
      </c>
      <c r="F192">
        <v>21</v>
      </c>
      <c r="G192" t="s">
        <v>35</v>
      </c>
      <c r="H192" s="4">
        <v>1701.62</v>
      </c>
      <c r="I192" s="4">
        <v>2193.2199999999998</v>
      </c>
      <c r="J192" t="s">
        <v>30</v>
      </c>
      <c r="K192" s="2">
        <v>0.22</v>
      </c>
      <c r="L192" t="s">
        <v>27</v>
      </c>
      <c r="M192" t="s">
        <v>22</v>
      </c>
      <c r="N192" t="s">
        <v>46</v>
      </c>
      <c r="O192" s="5">
        <f t="shared" si="2"/>
        <v>10323.599999999999</v>
      </c>
    </row>
    <row r="193" spans="1:15" x14ac:dyDescent="0.35">
      <c r="A193">
        <v>1028</v>
      </c>
      <c r="B193" s="1">
        <v>44973</v>
      </c>
      <c r="C193" t="s">
        <v>14</v>
      </c>
      <c r="D193" t="s">
        <v>34</v>
      </c>
      <c r="E193" s="4">
        <v>4344.1499999999996</v>
      </c>
      <c r="F193">
        <v>24</v>
      </c>
      <c r="G193" t="s">
        <v>35</v>
      </c>
      <c r="H193" s="4">
        <v>1969.09</v>
      </c>
      <c r="I193" s="4">
        <v>2241.96</v>
      </c>
      <c r="J193" t="s">
        <v>17</v>
      </c>
      <c r="K193" s="2">
        <v>0.02</v>
      </c>
      <c r="L193" t="s">
        <v>31</v>
      </c>
      <c r="M193" t="s">
        <v>19</v>
      </c>
      <c r="N193" t="s">
        <v>46</v>
      </c>
      <c r="O193" s="5">
        <f t="shared" si="2"/>
        <v>6548.8800000000028</v>
      </c>
    </row>
    <row r="194" spans="1:15" x14ac:dyDescent="0.35">
      <c r="A194">
        <v>1028</v>
      </c>
      <c r="B194" s="1">
        <v>45250</v>
      </c>
      <c r="C194" t="s">
        <v>42</v>
      </c>
      <c r="D194" t="s">
        <v>34</v>
      </c>
      <c r="E194" s="4">
        <v>388.78</v>
      </c>
      <c r="F194">
        <v>5</v>
      </c>
      <c r="G194" t="s">
        <v>26</v>
      </c>
      <c r="H194" s="4">
        <v>734.92</v>
      </c>
      <c r="I194" s="4">
        <v>991.21</v>
      </c>
      <c r="J194" t="s">
        <v>17</v>
      </c>
      <c r="K194" s="2">
        <v>0.21</v>
      </c>
      <c r="L194" t="s">
        <v>31</v>
      </c>
      <c r="M194" t="s">
        <v>19</v>
      </c>
      <c r="N194" t="s">
        <v>52</v>
      </c>
      <c r="O194" s="5">
        <f t="shared" ref="O194:O257" si="3">(I194-H194)*F194</f>
        <v>1281.4500000000003</v>
      </c>
    </row>
    <row r="195" spans="1:15" x14ac:dyDescent="0.35">
      <c r="A195">
        <v>1044</v>
      </c>
      <c r="B195" s="1">
        <v>45258</v>
      </c>
      <c r="C195" t="s">
        <v>33</v>
      </c>
      <c r="D195" t="s">
        <v>21</v>
      </c>
      <c r="E195" s="4">
        <v>4860.8100000000004</v>
      </c>
      <c r="F195">
        <v>6</v>
      </c>
      <c r="G195" t="s">
        <v>35</v>
      </c>
      <c r="H195" s="4">
        <v>3703.93</v>
      </c>
      <c r="I195" s="4">
        <v>3840.24</v>
      </c>
      <c r="J195" t="s">
        <v>30</v>
      </c>
      <c r="K195" s="2">
        <v>7.0000000000000007E-2</v>
      </c>
      <c r="L195" t="s">
        <v>31</v>
      </c>
      <c r="M195" t="s">
        <v>19</v>
      </c>
      <c r="N195" t="s">
        <v>37</v>
      </c>
      <c r="O195" s="5">
        <f t="shared" si="3"/>
        <v>817.85999999999967</v>
      </c>
    </row>
    <row r="196" spans="1:15" x14ac:dyDescent="0.35">
      <c r="A196">
        <v>1084</v>
      </c>
      <c r="B196" s="1">
        <v>45099</v>
      </c>
      <c r="C196" t="s">
        <v>38</v>
      </c>
      <c r="D196" t="s">
        <v>15</v>
      </c>
      <c r="E196" s="4">
        <v>6658.1</v>
      </c>
      <c r="F196">
        <v>49</v>
      </c>
      <c r="G196" t="s">
        <v>16</v>
      </c>
      <c r="H196" s="4">
        <v>4291.97</v>
      </c>
      <c r="I196" s="4">
        <v>4645.6400000000003</v>
      </c>
      <c r="J196" t="s">
        <v>17</v>
      </c>
      <c r="K196" s="2">
        <v>0.26</v>
      </c>
      <c r="L196" t="s">
        <v>31</v>
      </c>
      <c r="M196" t="s">
        <v>19</v>
      </c>
      <c r="N196" t="s">
        <v>40</v>
      </c>
      <c r="O196" s="5">
        <f t="shared" si="3"/>
        <v>17329.830000000002</v>
      </c>
    </row>
    <row r="197" spans="1:15" x14ac:dyDescent="0.35">
      <c r="A197">
        <v>1030</v>
      </c>
      <c r="B197" s="1">
        <v>45056</v>
      </c>
      <c r="C197" t="s">
        <v>14</v>
      </c>
      <c r="D197" t="s">
        <v>25</v>
      </c>
      <c r="E197" s="4">
        <v>1273.18</v>
      </c>
      <c r="F197">
        <v>43</v>
      </c>
      <c r="G197" t="s">
        <v>29</v>
      </c>
      <c r="H197" s="4">
        <v>4696.6400000000003</v>
      </c>
      <c r="I197" s="4">
        <v>4713.68</v>
      </c>
      <c r="J197" t="s">
        <v>17</v>
      </c>
      <c r="K197" s="2">
        <v>0.24</v>
      </c>
      <c r="L197" t="s">
        <v>27</v>
      </c>
      <c r="M197" t="s">
        <v>19</v>
      </c>
      <c r="N197" t="s">
        <v>32</v>
      </c>
      <c r="O197" s="5">
        <f t="shared" si="3"/>
        <v>732.71999999999844</v>
      </c>
    </row>
    <row r="198" spans="1:15" x14ac:dyDescent="0.35">
      <c r="A198">
        <v>1062</v>
      </c>
      <c r="B198" s="1">
        <v>45021</v>
      </c>
      <c r="C198" t="s">
        <v>14</v>
      </c>
      <c r="D198" t="s">
        <v>15</v>
      </c>
      <c r="E198" s="4">
        <v>2959.96</v>
      </c>
      <c r="F198">
        <v>48</v>
      </c>
      <c r="G198" t="s">
        <v>26</v>
      </c>
      <c r="H198" s="4">
        <v>2487.19</v>
      </c>
      <c r="I198" s="4">
        <v>2521.4499999999998</v>
      </c>
      <c r="J198" t="s">
        <v>30</v>
      </c>
      <c r="K198" s="2">
        <v>0.28999999999999998</v>
      </c>
      <c r="L198" t="s">
        <v>18</v>
      </c>
      <c r="M198" t="s">
        <v>19</v>
      </c>
      <c r="N198" t="s">
        <v>20</v>
      </c>
      <c r="O198" s="5">
        <f t="shared" si="3"/>
        <v>1644.4799999999886</v>
      </c>
    </row>
    <row r="199" spans="1:15" x14ac:dyDescent="0.35">
      <c r="A199">
        <v>1075</v>
      </c>
      <c r="B199" s="1">
        <v>45041</v>
      </c>
      <c r="C199" t="s">
        <v>24</v>
      </c>
      <c r="D199" t="s">
        <v>21</v>
      </c>
      <c r="E199" s="4">
        <v>4038.58</v>
      </c>
      <c r="F199">
        <v>44</v>
      </c>
      <c r="G199" t="s">
        <v>16</v>
      </c>
      <c r="H199" s="4">
        <v>3519.29</v>
      </c>
      <c r="I199" s="4">
        <v>3822.98</v>
      </c>
      <c r="J199" t="s">
        <v>17</v>
      </c>
      <c r="K199" s="2">
        <v>0.27</v>
      </c>
      <c r="L199" t="s">
        <v>27</v>
      </c>
      <c r="M199" t="s">
        <v>19</v>
      </c>
      <c r="N199" t="s">
        <v>47</v>
      </c>
      <c r="O199" s="5">
        <f t="shared" si="3"/>
        <v>13362.360000000002</v>
      </c>
    </row>
    <row r="200" spans="1:15" x14ac:dyDescent="0.35">
      <c r="A200">
        <v>1092</v>
      </c>
      <c r="B200" s="1">
        <v>45169</v>
      </c>
      <c r="C200" t="s">
        <v>38</v>
      </c>
      <c r="D200" t="s">
        <v>25</v>
      </c>
      <c r="E200" s="4">
        <v>9203.36</v>
      </c>
      <c r="F200">
        <v>47</v>
      </c>
      <c r="G200" t="s">
        <v>26</v>
      </c>
      <c r="H200" s="4">
        <v>4284.9799999999996</v>
      </c>
      <c r="I200" s="4">
        <v>4462.3999999999996</v>
      </c>
      <c r="J200" t="s">
        <v>30</v>
      </c>
      <c r="K200" s="2">
        <v>0.28000000000000003</v>
      </c>
      <c r="L200" t="s">
        <v>31</v>
      </c>
      <c r="M200" t="s">
        <v>22</v>
      </c>
      <c r="N200" t="s">
        <v>39</v>
      </c>
      <c r="O200" s="5">
        <f t="shared" si="3"/>
        <v>8338.7400000000034</v>
      </c>
    </row>
    <row r="201" spans="1:15" x14ac:dyDescent="0.35">
      <c r="A201">
        <v>1089</v>
      </c>
      <c r="B201" s="1">
        <v>45218</v>
      </c>
      <c r="C201" t="s">
        <v>38</v>
      </c>
      <c r="D201" t="s">
        <v>21</v>
      </c>
      <c r="E201" s="4">
        <v>9933.2199999999993</v>
      </c>
      <c r="F201">
        <v>23</v>
      </c>
      <c r="G201" t="s">
        <v>26</v>
      </c>
      <c r="H201" s="4">
        <v>2120.54</v>
      </c>
      <c r="I201" s="4">
        <v>2597.67</v>
      </c>
      <c r="J201" t="s">
        <v>17</v>
      </c>
      <c r="K201" s="2">
        <v>0.26</v>
      </c>
      <c r="L201" t="s">
        <v>31</v>
      </c>
      <c r="M201" t="s">
        <v>22</v>
      </c>
      <c r="N201" t="s">
        <v>41</v>
      </c>
      <c r="O201" s="5">
        <f t="shared" si="3"/>
        <v>10973.990000000002</v>
      </c>
    </row>
    <row r="202" spans="1:15" x14ac:dyDescent="0.35">
      <c r="A202">
        <v>1062</v>
      </c>
      <c r="B202" s="1">
        <v>45208</v>
      </c>
      <c r="C202" t="s">
        <v>14</v>
      </c>
      <c r="D202" t="s">
        <v>34</v>
      </c>
      <c r="E202" s="4">
        <v>544.62</v>
      </c>
      <c r="F202">
        <v>4</v>
      </c>
      <c r="G202" t="s">
        <v>35</v>
      </c>
      <c r="H202" s="4">
        <v>1581.59</v>
      </c>
      <c r="I202" s="4">
        <v>2034.1499999999901</v>
      </c>
      <c r="J202" t="s">
        <v>17</v>
      </c>
      <c r="K202" s="2">
        <v>0.21</v>
      </c>
      <c r="L202" t="s">
        <v>18</v>
      </c>
      <c r="M202" t="s">
        <v>19</v>
      </c>
      <c r="N202" t="s">
        <v>46</v>
      </c>
      <c r="O202" s="5">
        <f t="shared" si="3"/>
        <v>1810.2399999999607</v>
      </c>
    </row>
    <row r="203" spans="1:15" x14ac:dyDescent="0.35">
      <c r="A203">
        <v>1097</v>
      </c>
      <c r="B203" s="1">
        <v>45225</v>
      </c>
      <c r="C203" t="s">
        <v>42</v>
      </c>
      <c r="D203" t="s">
        <v>34</v>
      </c>
      <c r="E203" s="4">
        <v>7633.98</v>
      </c>
      <c r="F203">
        <v>27</v>
      </c>
      <c r="G203" t="s">
        <v>35</v>
      </c>
      <c r="H203" s="4">
        <v>4686.79</v>
      </c>
      <c r="I203" s="4">
        <v>5046.51</v>
      </c>
      <c r="J203" t="s">
        <v>17</v>
      </c>
      <c r="K203" s="2">
        <v>0.05</v>
      </c>
      <c r="L203" t="s">
        <v>31</v>
      </c>
      <c r="M203" t="s">
        <v>22</v>
      </c>
      <c r="N203" t="s">
        <v>52</v>
      </c>
      <c r="O203" s="5">
        <f t="shared" si="3"/>
        <v>9712.440000000006</v>
      </c>
    </row>
    <row r="204" spans="1:15" x14ac:dyDescent="0.35">
      <c r="A204">
        <v>1001</v>
      </c>
      <c r="B204" s="1">
        <v>45209</v>
      </c>
      <c r="C204" t="s">
        <v>24</v>
      </c>
      <c r="D204" t="s">
        <v>21</v>
      </c>
      <c r="E204" s="4">
        <v>3780.07</v>
      </c>
      <c r="F204">
        <v>18</v>
      </c>
      <c r="G204" t="s">
        <v>16</v>
      </c>
      <c r="H204" s="4">
        <v>2602.6</v>
      </c>
      <c r="I204" s="4">
        <v>3013.49</v>
      </c>
      <c r="J204" t="s">
        <v>17</v>
      </c>
      <c r="K204" s="2">
        <v>0.08</v>
      </c>
      <c r="L204" t="s">
        <v>27</v>
      </c>
      <c r="M204" t="s">
        <v>19</v>
      </c>
      <c r="N204" t="s">
        <v>47</v>
      </c>
      <c r="O204" s="5">
        <f t="shared" si="3"/>
        <v>7396.0199999999977</v>
      </c>
    </row>
    <row r="205" spans="1:15" x14ac:dyDescent="0.35">
      <c r="A205">
        <v>1027</v>
      </c>
      <c r="B205" s="1">
        <v>44995</v>
      </c>
      <c r="C205" t="s">
        <v>38</v>
      </c>
      <c r="D205" t="s">
        <v>25</v>
      </c>
      <c r="E205" s="4">
        <v>3985.34</v>
      </c>
      <c r="F205">
        <v>21</v>
      </c>
      <c r="G205" t="s">
        <v>26</v>
      </c>
      <c r="H205" s="4">
        <v>2511.41</v>
      </c>
      <c r="I205" s="4">
        <v>2848.3999999999901</v>
      </c>
      <c r="J205" t="s">
        <v>17</v>
      </c>
      <c r="K205" s="2">
        <v>0.06</v>
      </c>
      <c r="L205" t="s">
        <v>27</v>
      </c>
      <c r="M205" t="s">
        <v>19</v>
      </c>
      <c r="N205" t="s">
        <v>39</v>
      </c>
      <c r="O205" s="5">
        <f t="shared" si="3"/>
        <v>7076.7899999997953</v>
      </c>
    </row>
    <row r="206" spans="1:15" x14ac:dyDescent="0.35">
      <c r="A206">
        <v>1062</v>
      </c>
      <c r="B206" s="1">
        <v>45074</v>
      </c>
      <c r="C206" t="s">
        <v>14</v>
      </c>
      <c r="D206" t="s">
        <v>25</v>
      </c>
      <c r="E206" s="4">
        <v>7567.22</v>
      </c>
      <c r="F206">
        <v>28</v>
      </c>
      <c r="G206" t="s">
        <v>35</v>
      </c>
      <c r="H206" s="4">
        <v>933.16</v>
      </c>
      <c r="I206" s="4">
        <v>1004.69999999999</v>
      </c>
      <c r="J206" t="s">
        <v>17</v>
      </c>
      <c r="K206" s="2">
        <v>0.18</v>
      </c>
      <c r="L206" t="s">
        <v>27</v>
      </c>
      <c r="M206" t="s">
        <v>19</v>
      </c>
      <c r="N206" t="s">
        <v>32</v>
      </c>
      <c r="O206" s="5">
        <f t="shared" si="3"/>
        <v>2003.119999999722</v>
      </c>
    </row>
    <row r="207" spans="1:15" x14ac:dyDescent="0.35">
      <c r="A207">
        <v>1077</v>
      </c>
      <c r="B207" s="1">
        <v>44937</v>
      </c>
      <c r="C207" t="s">
        <v>38</v>
      </c>
      <c r="D207" t="s">
        <v>15</v>
      </c>
      <c r="E207" s="4">
        <v>9192.42</v>
      </c>
      <c r="F207">
        <v>35</v>
      </c>
      <c r="G207" t="s">
        <v>35</v>
      </c>
      <c r="H207" s="4">
        <v>585.37</v>
      </c>
      <c r="I207" s="4">
        <v>970.49</v>
      </c>
      <c r="J207" t="s">
        <v>17</v>
      </c>
      <c r="K207" s="2">
        <v>0.15</v>
      </c>
      <c r="L207" t="s">
        <v>27</v>
      </c>
      <c r="M207" t="s">
        <v>22</v>
      </c>
      <c r="N207" t="s">
        <v>40</v>
      </c>
      <c r="O207" s="5">
        <f t="shared" si="3"/>
        <v>13479.2</v>
      </c>
    </row>
    <row r="208" spans="1:15" x14ac:dyDescent="0.35">
      <c r="A208">
        <v>1003</v>
      </c>
      <c r="B208" s="1">
        <v>45180</v>
      </c>
      <c r="C208" t="s">
        <v>24</v>
      </c>
      <c r="D208" t="s">
        <v>34</v>
      </c>
      <c r="E208" s="4">
        <v>9514.19</v>
      </c>
      <c r="F208">
        <v>22</v>
      </c>
      <c r="G208" t="s">
        <v>26</v>
      </c>
      <c r="H208" s="4">
        <v>4218.43</v>
      </c>
      <c r="I208" s="4">
        <v>4331.42</v>
      </c>
      <c r="J208" t="s">
        <v>30</v>
      </c>
      <c r="K208" s="2">
        <v>0.26</v>
      </c>
      <c r="L208" t="s">
        <v>27</v>
      </c>
      <c r="M208" t="s">
        <v>19</v>
      </c>
      <c r="N208" t="s">
        <v>50</v>
      </c>
      <c r="O208" s="5">
        <f t="shared" si="3"/>
        <v>2485.7799999999952</v>
      </c>
    </row>
    <row r="209" spans="1:15" x14ac:dyDescent="0.35">
      <c r="A209">
        <v>1070</v>
      </c>
      <c r="B209" s="1">
        <v>45256</v>
      </c>
      <c r="C209" t="s">
        <v>24</v>
      </c>
      <c r="D209" t="s">
        <v>15</v>
      </c>
      <c r="E209" s="4">
        <v>5813.51</v>
      </c>
      <c r="F209">
        <v>40</v>
      </c>
      <c r="G209" t="s">
        <v>16</v>
      </c>
      <c r="H209" s="4">
        <v>3089.96</v>
      </c>
      <c r="I209" s="4">
        <v>3258.45</v>
      </c>
      <c r="J209" t="s">
        <v>30</v>
      </c>
      <c r="K209" s="2">
        <v>0.28999999999999998</v>
      </c>
      <c r="L209" t="s">
        <v>18</v>
      </c>
      <c r="M209" t="s">
        <v>19</v>
      </c>
      <c r="N209" t="s">
        <v>45</v>
      </c>
      <c r="O209" s="5">
        <f t="shared" si="3"/>
        <v>6739.5999999999913</v>
      </c>
    </row>
    <row r="210" spans="1:15" x14ac:dyDescent="0.35">
      <c r="A210">
        <v>1072</v>
      </c>
      <c r="B210" s="1">
        <v>45286</v>
      </c>
      <c r="C210" t="s">
        <v>33</v>
      </c>
      <c r="D210" t="s">
        <v>15</v>
      </c>
      <c r="E210" s="4">
        <v>3635.5</v>
      </c>
      <c r="F210">
        <v>23</v>
      </c>
      <c r="G210" t="s">
        <v>16</v>
      </c>
      <c r="H210" s="4">
        <v>1662.83</v>
      </c>
      <c r="I210" s="4">
        <v>2074.25</v>
      </c>
      <c r="J210" t="s">
        <v>30</v>
      </c>
      <c r="K210" s="2">
        <v>0.12</v>
      </c>
      <c r="L210" t="s">
        <v>27</v>
      </c>
      <c r="M210" t="s">
        <v>19</v>
      </c>
      <c r="N210" t="s">
        <v>53</v>
      </c>
      <c r="O210" s="5">
        <f t="shared" si="3"/>
        <v>9462.6600000000017</v>
      </c>
    </row>
    <row r="211" spans="1:15" x14ac:dyDescent="0.35">
      <c r="A211">
        <v>1027</v>
      </c>
      <c r="B211" s="1">
        <v>44964</v>
      </c>
      <c r="C211" t="s">
        <v>14</v>
      </c>
      <c r="D211" t="s">
        <v>21</v>
      </c>
      <c r="E211" s="4">
        <v>7896.74</v>
      </c>
      <c r="F211">
        <v>3</v>
      </c>
      <c r="G211" t="s">
        <v>26</v>
      </c>
      <c r="H211" s="4">
        <v>999.09</v>
      </c>
      <c r="I211" s="4">
        <v>1271.99</v>
      </c>
      <c r="J211" t="s">
        <v>30</v>
      </c>
      <c r="K211" s="2">
        <v>0.15</v>
      </c>
      <c r="L211" t="s">
        <v>31</v>
      </c>
      <c r="M211" t="s">
        <v>19</v>
      </c>
      <c r="N211" t="s">
        <v>23</v>
      </c>
      <c r="O211" s="5">
        <f t="shared" si="3"/>
        <v>818.69999999999993</v>
      </c>
    </row>
    <row r="212" spans="1:15" x14ac:dyDescent="0.35">
      <c r="A212">
        <v>1009</v>
      </c>
      <c r="B212" s="1">
        <v>45060</v>
      </c>
      <c r="C212" t="s">
        <v>24</v>
      </c>
      <c r="D212" t="s">
        <v>21</v>
      </c>
      <c r="E212" s="4">
        <v>2584.91</v>
      </c>
      <c r="F212">
        <v>40</v>
      </c>
      <c r="G212" t="s">
        <v>16</v>
      </c>
      <c r="H212" s="4">
        <v>2799.71</v>
      </c>
      <c r="I212" s="4">
        <v>3231.08</v>
      </c>
      <c r="J212" t="s">
        <v>17</v>
      </c>
      <c r="K212" s="2">
        <v>0.28999999999999998</v>
      </c>
      <c r="L212" t="s">
        <v>31</v>
      </c>
      <c r="M212" t="s">
        <v>22</v>
      </c>
      <c r="N212" t="s">
        <v>47</v>
      </c>
      <c r="O212" s="5">
        <f t="shared" si="3"/>
        <v>17254.799999999996</v>
      </c>
    </row>
    <row r="213" spans="1:15" x14ac:dyDescent="0.35">
      <c r="A213">
        <v>1062</v>
      </c>
      <c r="B213" s="1">
        <v>45126</v>
      </c>
      <c r="C213" t="s">
        <v>33</v>
      </c>
      <c r="D213" t="s">
        <v>15</v>
      </c>
      <c r="E213" s="4">
        <v>5684.33</v>
      </c>
      <c r="F213">
        <v>10</v>
      </c>
      <c r="G213" t="s">
        <v>35</v>
      </c>
      <c r="H213" s="4">
        <v>2940.4</v>
      </c>
      <c r="I213" s="4">
        <v>3054.79</v>
      </c>
      <c r="J213" t="s">
        <v>17</v>
      </c>
      <c r="K213" s="2">
        <v>0.08</v>
      </c>
      <c r="L213" t="s">
        <v>31</v>
      </c>
      <c r="M213" t="s">
        <v>19</v>
      </c>
      <c r="N213" t="s">
        <v>53</v>
      </c>
      <c r="O213" s="5">
        <f t="shared" si="3"/>
        <v>1143.8999999999987</v>
      </c>
    </row>
    <row r="214" spans="1:15" x14ac:dyDescent="0.35">
      <c r="A214">
        <v>1037</v>
      </c>
      <c r="B214" s="1">
        <v>44949</v>
      </c>
      <c r="C214" t="s">
        <v>33</v>
      </c>
      <c r="D214" t="s">
        <v>34</v>
      </c>
      <c r="E214" s="4">
        <v>3649.93</v>
      </c>
      <c r="F214">
        <v>25</v>
      </c>
      <c r="G214" t="s">
        <v>26</v>
      </c>
      <c r="H214" s="4">
        <v>1074.6199999999999</v>
      </c>
      <c r="I214" s="4">
        <v>1382.4299999999901</v>
      </c>
      <c r="J214" t="s">
        <v>17</v>
      </c>
      <c r="K214" s="2">
        <v>0.24</v>
      </c>
      <c r="L214" t="s">
        <v>31</v>
      </c>
      <c r="M214" t="s">
        <v>22</v>
      </c>
      <c r="N214" t="s">
        <v>36</v>
      </c>
      <c r="O214" s="5">
        <f t="shared" si="3"/>
        <v>7695.2499999997544</v>
      </c>
    </row>
    <row r="215" spans="1:15" x14ac:dyDescent="0.35">
      <c r="A215">
        <v>1097</v>
      </c>
      <c r="B215" s="1">
        <v>45229</v>
      </c>
      <c r="C215" t="s">
        <v>38</v>
      </c>
      <c r="D215" t="s">
        <v>21</v>
      </c>
      <c r="E215" s="4">
        <v>6600.65</v>
      </c>
      <c r="F215">
        <v>49</v>
      </c>
      <c r="G215" t="s">
        <v>35</v>
      </c>
      <c r="H215" s="4">
        <v>4264.46</v>
      </c>
      <c r="I215" s="4">
        <v>4315.5200000000004</v>
      </c>
      <c r="J215" t="s">
        <v>30</v>
      </c>
      <c r="K215" s="2">
        <v>7.0000000000000007E-2</v>
      </c>
      <c r="L215" t="s">
        <v>18</v>
      </c>
      <c r="M215" t="s">
        <v>22</v>
      </c>
      <c r="N215" t="s">
        <v>41</v>
      </c>
      <c r="O215" s="5">
        <f t="shared" si="3"/>
        <v>2501.9400000000196</v>
      </c>
    </row>
    <row r="216" spans="1:15" x14ac:dyDescent="0.35">
      <c r="A216">
        <v>1051</v>
      </c>
      <c r="B216" s="1">
        <v>45272</v>
      </c>
      <c r="C216" t="s">
        <v>38</v>
      </c>
      <c r="D216" t="s">
        <v>15</v>
      </c>
      <c r="E216" s="4">
        <v>2479.9499999999998</v>
      </c>
      <c r="F216">
        <v>8</v>
      </c>
      <c r="G216" t="s">
        <v>29</v>
      </c>
      <c r="H216" s="4">
        <v>467.11</v>
      </c>
      <c r="I216" s="4">
        <v>792.21</v>
      </c>
      <c r="J216" t="s">
        <v>30</v>
      </c>
      <c r="K216" s="2">
        <v>0.2</v>
      </c>
      <c r="L216" t="s">
        <v>31</v>
      </c>
      <c r="M216" t="s">
        <v>19</v>
      </c>
      <c r="N216" t="s">
        <v>40</v>
      </c>
      <c r="O216" s="5">
        <f t="shared" si="3"/>
        <v>2600.8000000000002</v>
      </c>
    </row>
    <row r="217" spans="1:15" x14ac:dyDescent="0.35">
      <c r="A217">
        <v>1044</v>
      </c>
      <c r="B217" s="1">
        <v>45228</v>
      </c>
      <c r="C217" t="s">
        <v>33</v>
      </c>
      <c r="D217" t="s">
        <v>15</v>
      </c>
      <c r="E217" s="4">
        <v>1996.77</v>
      </c>
      <c r="F217">
        <v>11</v>
      </c>
      <c r="G217" t="s">
        <v>29</v>
      </c>
      <c r="H217" s="4">
        <v>1812.66</v>
      </c>
      <c r="I217" s="4">
        <v>2196.3000000000002</v>
      </c>
      <c r="J217" t="s">
        <v>30</v>
      </c>
      <c r="K217" s="2">
        <v>0.08</v>
      </c>
      <c r="L217" t="s">
        <v>18</v>
      </c>
      <c r="M217" t="s">
        <v>19</v>
      </c>
      <c r="N217" t="s">
        <v>53</v>
      </c>
      <c r="O217" s="5">
        <f t="shared" si="3"/>
        <v>4220.0400000000009</v>
      </c>
    </row>
    <row r="218" spans="1:15" x14ac:dyDescent="0.35">
      <c r="A218">
        <v>1024</v>
      </c>
      <c r="B218" s="1">
        <v>45289</v>
      </c>
      <c r="C218" t="s">
        <v>38</v>
      </c>
      <c r="D218" t="s">
        <v>15</v>
      </c>
      <c r="E218" s="4">
        <v>9190.57</v>
      </c>
      <c r="F218">
        <v>5</v>
      </c>
      <c r="G218" t="s">
        <v>16</v>
      </c>
      <c r="H218" s="4">
        <v>3417.9</v>
      </c>
      <c r="I218" s="4">
        <v>3714.52</v>
      </c>
      <c r="J218" t="s">
        <v>17</v>
      </c>
      <c r="K218" s="2">
        <v>0.27</v>
      </c>
      <c r="L218" t="s">
        <v>31</v>
      </c>
      <c r="M218" t="s">
        <v>22</v>
      </c>
      <c r="N218" t="s">
        <v>40</v>
      </c>
      <c r="O218" s="5">
        <f t="shared" si="3"/>
        <v>1483.0999999999995</v>
      </c>
    </row>
    <row r="219" spans="1:15" x14ac:dyDescent="0.35">
      <c r="A219">
        <v>1079</v>
      </c>
      <c r="B219" s="1">
        <v>45144</v>
      </c>
      <c r="C219" t="s">
        <v>24</v>
      </c>
      <c r="D219" t="s">
        <v>15</v>
      </c>
      <c r="E219" s="4">
        <v>1107.8599999999999</v>
      </c>
      <c r="F219">
        <v>45</v>
      </c>
      <c r="G219" t="s">
        <v>29</v>
      </c>
      <c r="H219" s="4">
        <v>1406.9</v>
      </c>
      <c r="I219" s="4">
        <v>1547.35</v>
      </c>
      <c r="J219" t="s">
        <v>30</v>
      </c>
      <c r="K219" s="2">
        <v>0.17</v>
      </c>
      <c r="L219" t="s">
        <v>18</v>
      </c>
      <c r="M219" t="s">
        <v>22</v>
      </c>
      <c r="N219" t="s">
        <v>45</v>
      </c>
      <c r="O219" s="5">
        <f t="shared" si="3"/>
        <v>6320.2499999999918</v>
      </c>
    </row>
    <row r="220" spans="1:15" x14ac:dyDescent="0.35">
      <c r="A220">
        <v>1059</v>
      </c>
      <c r="B220" s="1">
        <v>45067</v>
      </c>
      <c r="C220" t="s">
        <v>42</v>
      </c>
      <c r="D220" t="s">
        <v>15</v>
      </c>
      <c r="E220" s="4">
        <v>5108.9799999999996</v>
      </c>
      <c r="F220">
        <v>37</v>
      </c>
      <c r="G220" t="s">
        <v>35</v>
      </c>
      <c r="H220" s="4">
        <v>4146.99</v>
      </c>
      <c r="I220" s="4">
        <v>4172.3499999999904</v>
      </c>
      <c r="J220" t="s">
        <v>17</v>
      </c>
      <c r="K220" s="2">
        <v>0.06</v>
      </c>
      <c r="L220" t="s">
        <v>18</v>
      </c>
      <c r="M220" t="s">
        <v>22</v>
      </c>
      <c r="N220" t="s">
        <v>49</v>
      </c>
      <c r="O220" s="5">
        <f t="shared" si="3"/>
        <v>938.31999999965137</v>
      </c>
    </row>
    <row r="221" spans="1:15" x14ac:dyDescent="0.35">
      <c r="A221">
        <v>1032</v>
      </c>
      <c r="B221" s="1">
        <v>45030</v>
      </c>
      <c r="C221" t="s">
        <v>24</v>
      </c>
      <c r="D221" t="s">
        <v>15</v>
      </c>
      <c r="E221" s="4">
        <v>2286.44</v>
      </c>
      <c r="F221">
        <v>45</v>
      </c>
      <c r="G221" t="s">
        <v>29</v>
      </c>
      <c r="H221" s="4">
        <v>3712.35</v>
      </c>
      <c r="I221" s="4">
        <v>3780.88</v>
      </c>
      <c r="J221" t="s">
        <v>30</v>
      </c>
      <c r="K221" s="2">
        <v>7.0000000000000007E-2</v>
      </c>
      <c r="L221" t="s">
        <v>18</v>
      </c>
      <c r="M221" t="s">
        <v>22</v>
      </c>
      <c r="N221" t="s">
        <v>45</v>
      </c>
      <c r="O221" s="5">
        <f t="shared" si="3"/>
        <v>3083.850000000009</v>
      </c>
    </row>
    <row r="222" spans="1:15" x14ac:dyDescent="0.35">
      <c r="A222">
        <v>1096</v>
      </c>
      <c r="B222" s="1">
        <v>45136</v>
      </c>
      <c r="C222" t="s">
        <v>33</v>
      </c>
      <c r="D222" t="s">
        <v>21</v>
      </c>
      <c r="E222" s="4">
        <v>485.41</v>
      </c>
      <c r="F222">
        <v>38</v>
      </c>
      <c r="G222" t="s">
        <v>35</v>
      </c>
      <c r="H222" s="4">
        <v>3955.66</v>
      </c>
      <c r="I222" s="4">
        <v>4270.59</v>
      </c>
      <c r="J222" t="s">
        <v>17</v>
      </c>
      <c r="K222" s="2">
        <v>0.15</v>
      </c>
      <c r="L222" t="s">
        <v>31</v>
      </c>
      <c r="M222" t="s">
        <v>19</v>
      </c>
      <c r="N222" t="s">
        <v>37</v>
      </c>
      <c r="O222" s="5">
        <f t="shared" si="3"/>
        <v>11967.340000000011</v>
      </c>
    </row>
    <row r="223" spans="1:15" x14ac:dyDescent="0.35">
      <c r="A223">
        <v>1088</v>
      </c>
      <c r="B223" s="1">
        <v>45037</v>
      </c>
      <c r="C223" t="s">
        <v>33</v>
      </c>
      <c r="D223" t="s">
        <v>34</v>
      </c>
      <c r="E223" s="4">
        <v>456.59</v>
      </c>
      <c r="F223">
        <v>29</v>
      </c>
      <c r="G223" t="s">
        <v>16</v>
      </c>
      <c r="H223" s="4">
        <v>639.58000000000004</v>
      </c>
      <c r="I223" s="4">
        <v>1107.45</v>
      </c>
      <c r="J223" t="s">
        <v>30</v>
      </c>
      <c r="K223" s="2">
        <v>0.28999999999999998</v>
      </c>
      <c r="L223" t="s">
        <v>18</v>
      </c>
      <c r="M223" t="s">
        <v>22</v>
      </c>
      <c r="N223" t="s">
        <v>36</v>
      </c>
      <c r="O223" s="5">
        <f t="shared" si="3"/>
        <v>13568.23</v>
      </c>
    </row>
    <row r="224" spans="1:15" x14ac:dyDescent="0.35">
      <c r="A224">
        <v>1052</v>
      </c>
      <c r="B224" s="1">
        <v>45030</v>
      </c>
      <c r="C224" t="s">
        <v>24</v>
      </c>
      <c r="D224" t="s">
        <v>15</v>
      </c>
      <c r="E224" s="4">
        <v>1834.7</v>
      </c>
      <c r="F224">
        <v>5</v>
      </c>
      <c r="G224" t="s">
        <v>16</v>
      </c>
      <c r="H224" s="4">
        <v>745.71</v>
      </c>
      <c r="I224" s="4">
        <v>856.91</v>
      </c>
      <c r="J224" t="s">
        <v>17</v>
      </c>
      <c r="K224" s="2">
        <v>0.23</v>
      </c>
      <c r="L224" t="s">
        <v>27</v>
      </c>
      <c r="M224" t="s">
        <v>22</v>
      </c>
      <c r="N224" t="s">
        <v>45</v>
      </c>
      <c r="O224" s="5">
        <f t="shared" si="3"/>
        <v>555.99999999999966</v>
      </c>
    </row>
    <row r="225" spans="1:15" x14ac:dyDescent="0.35">
      <c r="A225">
        <v>1062</v>
      </c>
      <c r="B225" s="1">
        <v>45242</v>
      </c>
      <c r="C225" t="s">
        <v>38</v>
      </c>
      <c r="D225" t="s">
        <v>25</v>
      </c>
      <c r="E225" s="4">
        <v>8681.0300000000007</v>
      </c>
      <c r="F225">
        <v>9</v>
      </c>
      <c r="G225" t="s">
        <v>35</v>
      </c>
      <c r="H225" s="4">
        <v>1468.05</v>
      </c>
      <c r="I225" s="4">
        <v>1838.21</v>
      </c>
      <c r="J225" t="s">
        <v>30</v>
      </c>
      <c r="K225" s="2">
        <v>0.15</v>
      </c>
      <c r="L225" t="s">
        <v>27</v>
      </c>
      <c r="M225" t="s">
        <v>22</v>
      </c>
      <c r="N225" t="s">
        <v>39</v>
      </c>
      <c r="O225" s="5">
        <f t="shared" si="3"/>
        <v>3331.4400000000005</v>
      </c>
    </row>
    <row r="226" spans="1:15" x14ac:dyDescent="0.35">
      <c r="A226">
        <v>1058</v>
      </c>
      <c r="B226" s="1">
        <v>45097</v>
      </c>
      <c r="C226" t="s">
        <v>38</v>
      </c>
      <c r="D226" t="s">
        <v>21</v>
      </c>
      <c r="E226" s="4">
        <v>2896.54</v>
      </c>
      <c r="F226">
        <v>48</v>
      </c>
      <c r="G226" t="s">
        <v>29</v>
      </c>
      <c r="H226" s="4">
        <v>2614.48</v>
      </c>
      <c r="I226" s="4">
        <v>3049.04</v>
      </c>
      <c r="J226" t="s">
        <v>30</v>
      </c>
      <c r="K226" s="2">
        <v>0.1</v>
      </c>
      <c r="L226" t="s">
        <v>31</v>
      </c>
      <c r="M226" t="s">
        <v>22</v>
      </c>
      <c r="N226" t="s">
        <v>41</v>
      </c>
      <c r="O226" s="5">
        <f t="shared" si="3"/>
        <v>20858.879999999997</v>
      </c>
    </row>
    <row r="227" spans="1:15" x14ac:dyDescent="0.35">
      <c r="A227">
        <v>1012</v>
      </c>
      <c r="B227" s="1">
        <v>45250</v>
      </c>
      <c r="C227" t="s">
        <v>14</v>
      </c>
      <c r="D227" t="s">
        <v>15</v>
      </c>
      <c r="E227" s="4">
        <v>5858.06</v>
      </c>
      <c r="F227">
        <v>1</v>
      </c>
      <c r="G227" t="s">
        <v>26</v>
      </c>
      <c r="H227" s="4">
        <v>4190.83</v>
      </c>
      <c r="I227" s="4">
        <v>4528.7699999999904</v>
      </c>
      <c r="J227" t="s">
        <v>17</v>
      </c>
      <c r="K227" s="2">
        <v>0.22</v>
      </c>
      <c r="L227" t="s">
        <v>27</v>
      </c>
      <c r="M227" t="s">
        <v>19</v>
      </c>
      <c r="N227" t="s">
        <v>20</v>
      </c>
      <c r="O227" s="5">
        <f t="shared" si="3"/>
        <v>337.9399999999905</v>
      </c>
    </row>
    <row r="228" spans="1:15" x14ac:dyDescent="0.35">
      <c r="A228">
        <v>1039</v>
      </c>
      <c r="B228" s="1">
        <v>45059</v>
      </c>
      <c r="C228" t="s">
        <v>38</v>
      </c>
      <c r="D228" t="s">
        <v>21</v>
      </c>
      <c r="E228" s="4">
        <v>4422.4799999999996</v>
      </c>
      <c r="F228">
        <v>40</v>
      </c>
      <c r="G228" t="s">
        <v>16</v>
      </c>
      <c r="H228" s="4">
        <v>3536.46</v>
      </c>
      <c r="I228" s="4">
        <v>3945.82</v>
      </c>
      <c r="J228" t="s">
        <v>30</v>
      </c>
      <c r="K228" s="2">
        <v>0.24</v>
      </c>
      <c r="L228" t="s">
        <v>27</v>
      </c>
      <c r="M228" t="s">
        <v>19</v>
      </c>
      <c r="N228" t="s">
        <v>41</v>
      </c>
      <c r="O228" s="5">
        <f t="shared" si="3"/>
        <v>16374.400000000005</v>
      </c>
    </row>
    <row r="229" spans="1:15" x14ac:dyDescent="0.35">
      <c r="A229">
        <v>1002</v>
      </c>
      <c r="B229" s="1">
        <v>45219</v>
      </c>
      <c r="C229" t="s">
        <v>24</v>
      </c>
      <c r="D229" t="s">
        <v>15</v>
      </c>
      <c r="E229" s="4">
        <v>5842.88</v>
      </c>
      <c r="F229">
        <v>30</v>
      </c>
      <c r="G229" t="s">
        <v>29</v>
      </c>
      <c r="H229" s="4">
        <v>4646.55</v>
      </c>
      <c r="I229" s="4">
        <v>4784.28</v>
      </c>
      <c r="J229" t="s">
        <v>17</v>
      </c>
      <c r="K229" s="2">
        <v>0.1</v>
      </c>
      <c r="L229" t="s">
        <v>31</v>
      </c>
      <c r="M229" t="s">
        <v>22</v>
      </c>
      <c r="N229" t="s">
        <v>45</v>
      </c>
      <c r="O229" s="5">
        <f t="shared" si="3"/>
        <v>4131.8999999999869</v>
      </c>
    </row>
    <row r="230" spans="1:15" x14ac:dyDescent="0.35">
      <c r="A230">
        <v>1003</v>
      </c>
      <c r="B230" s="1">
        <v>45254</v>
      </c>
      <c r="C230" t="s">
        <v>38</v>
      </c>
      <c r="D230" t="s">
        <v>34</v>
      </c>
      <c r="E230" s="4">
        <v>5215.3100000000004</v>
      </c>
      <c r="F230">
        <v>11</v>
      </c>
      <c r="G230" t="s">
        <v>26</v>
      </c>
      <c r="H230" s="4">
        <v>3706.78</v>
      </c>
      <c r="I230" s="4">
        <v>3862.26</v>
      </c>
      <c r="J230" t="s">
        <v>30</v>
      </c>
      <c r="K230" s="2">
        <v>0.22</v>
      </c>
      <c r="L230" t="s">
        <v>31</v>
      </c>
      <c r="M230" t="s">
        <v>22</v>
      </c>
      <c r="N230" t="s">
        <v>48</v>
      </c>
      <c r="O230" s="5">
        <f t="shared" si="3"/>
        <v>1710.2800000000002</v>
      </c>
    </row>
    <row r="231" spans="1:15" x14ac:dyDescent="0.35">
      <c r="A231">
        <v>1056</v>
      </c>
      <c r="B231" s="1">
        <v>45053</v>
      </c>
      <c r="C231" t="s">
        <v>24</v>
      </c>
      <c r="D231" t="s">
        <v>34</v>
      </c>
      <c r="E231" s="4">
        <v>7611.88</v>
      </c>
      <c r="F231">
        <v>28</v>
      </c>
      <c r="G231" t="s">
        <v>29</v>
      </c>
      <c r="H231" s="4">
        <v>1566.03</v>
      </c>
      <c r="I231" s="4">
        <v>1576.34</v>
      </c>
      <c r="J231" t="s">
        <v>17</v>
      </c>
      <c r="K231" s="2">
        <v>0.2</v>
      </c>
      <c r="L231" t="s">
        <v>27</v>
      </c>
      <c r="M231" t="s">
        <v>19</v>
      </c>
      <c r="N231" t="s">
        <v>50</v>
      </c>
      <c r="O231" s="5">
        <f t="shared" si="3"/>
        <v>288.67999999999847</v>
      </c>
    </row>
    <row r="232" spans="1:15" x14ac:dyDescent="0.35">
      <c r="A232">
        <v>1081</v>
      </c>
      <c r="B232" s="1">
        <v>45032</v>
      </c>
      <c r="C232" t="s">
        <v>33</v>
      </c>
      <c r="D232" t="s">
        <v>21</v>
      </c>
      <c r="E232" s="4">
        <v>2896.71</v>
      </c>
      <c r="F232">
        <v>44</v>
      </c>
      <c r="G232" t="s">
        <v>35</v>
      </c>
      <c r="H232" s="4">
        <v>1362.15</v>
      </c>
      <c r="I232" s="4">
        <v>1844.07</v>
      </c>
      <c r="J232" t="s">
        <v>30</v>
      </c>
      <c r="K232" s="2">
        <v>0.28999999999999998</v>
      </c>
      <c r="L232" t="s">
        <v>31</v>
      </c>
      <c r="M232" t="s">
        <v>19</v>
      </c>
      <c r="N232" t="s">
        <v>37</v>
      </c>
      <c r="O232" s="5">
        <f t="shared" si="3"/>
        <v>21204.479999999992</v>
      </c>
    </row>
    <row r="233" spans="1:15" x14ac:dyDescent="0.35">
      <c r="A233">
        <v>1059</v>
      </c>
      <c r="B233" s="1">
        <v>45018</v>
      </c>
      <c r="C233" t="s">
        <v>38</v>
      </c>
      <c r="D233" t="s">
        <v>21</v>
      </c>
      <c r="E233" s="4">
        <v>3595.2</v>
      </c>
      <c r="F233">
        <v>12</v>
      </c>
      <c r="G233" t="s">
        <v>26</v>
      </c>
      <c r="H233" s="4">
        <v>3496.15</v>
      </c>
      <c r="I233" s="4">
        <v>3955.75</v>
      </c>
      <c r="J233" t="s">
        <v>17</v>
      </c>
      <c r="K233" s="2">
        <v>0.28000000000000003</v>
      </c>
      <c r="L233" t="s">
        <v>18</v>
      </c>
      <c r="M233" t="s">
        <v>22</v>
      </c>
      <c r="N233" t="s">
        <v>41</v>
      </c>
      <c r="O233" s="5">
        <f t="shared" si="3"/>
        <v>5515.1999999999989</v>
      </c>
    </row>
    <row r="234" spans="1:15" x14ac:dyDescent="0.35">
      <c r="A234">
        <v>1002</v>
      </c>
      <c r="B234" s="1">
        <v>45213</v>
      </c>
      <c r="C234" t="s">
        <v>24</v>
      </c>
      <c r="D234" t="s">
        <v>25</v>
      </c>
      <c r="E234" s="4">
        <v>8951.5300000000007</v>
      </c>
      <c r="F234">
        <v>39</v>
      </c>
      <c r="G234" t="s">
        <v>29</v>
      </c>
      <c r="H234" s="4">
        <v>1004.71</v>
      </c>
      <c r="I234" s="4">
        <v>1389.35</v>
      </c>
      <c r="J234" t="s">
        <v>30</v>
      </c>
      <c r="K234" s="2">
        <v>0.24</v>
      </c>
      <c r="L234" t="s">
        <v>27</v>
      </c>
      <c r="M234" t="s">
        <v>19</v>
      </c>
      <c r="N234" t="s">
        <v>28</v>
      </c>
      <c r="O234" s="5">
        <f t="shared" si="3"/>
        <v>15000.959999999995</v>
      </c>
    </row>
    <row r="235" spans="1:15" x14ac:dyDescent="0.35">
      <c r="A235">
        <v>1002</v>
      </c>
      <c r="B235" s="1">
        <v>44977</v>
      </c>
      <c r="C235" t="s">
        <v>33</v>
      </c>
      <c r="D235" t="s">
        <v>21</v>
      </c>
      <c r="E235" s="4">
        <v>9469.92</v>
      </c>
      <c r="F235">
        <v>26</v>
      </c>
      <c r="G235" t="s">
        <v>26</v>
      </c>
      <c r="H235" s="4">
        <v>508.94</v>
      </c>
      <c r="I235" s="4">
        <v>557.69000000000005</v>
      </c>
      <c r="J235" t="s">
        <v>30</v>
      </c>
      <c r="K235" s="2">
        <v>0.22</v>
      </c>
      <c r="L235" t="s">
        <v>31</v>
      </c>
      <c r="M235" t="s">
        <v>22</v>
      </c>
      <c r="N235" t="s">
        <v>37</v>
      </c>
      <c r="O235" s="5">
        <f t="shared" si="3"/>
        <v>1267.5000000000014</v>
      </c>
    </row>
    <row r="236" spans="1:15" x14ac:dyDescent="0.35">
      <c r="A236">
        <v>1092</v>
      </c>
      <c r="B236" s="1">
        <v>44955</v>
      </c>
      <c r="C236" t="s">
        <v>14</v>
      </c>
      <c r="D236" t="s">
        <v>25</v>
      </c>
      <c r="E236" s="4">
        <v>8936.33</v>
      </c>
      <c r="F236">
        <v>13</v>
      </c>
      <c r="G236" t="s">
        <v>29</v>
      </c>
      <c r="H236" s="4">
        <v>2684.5</v>
      </c>
      <c r="I236" s="4">
        <v>2913.78</v>
      </c>
      <c r="J236" t="s">
        <v>30</v>
      </c>
      <c r="K236" s="2">
        <v>0.08</v>
      </c>
      <c r="L236" t="s">
        <v>31</v>
      </c>
      <c r="M236" t="s">
        <v>22</v>
      </c>
      <c r="N236" t="s">
        <v>32</v>
      </c>
      <c r="O236" s="5">
        <f t="shared" si="3"/>
        <v>2980.6400000000026</v>
      </c>
    </row>
    <row r="237" spans="1:15" x14ac:dyDescent="0.35">
      <c r="A237">
        <v>1054</v>
      </c>
      <c r="B237" s="1">
        <v>45222</v>
      </c>
      <c r="C237" t="s">
        <v>24</v>
      </c>
      <c r="D237" t="s">
        <v>34</v>
      </c>
      <c r="E237" s="4">
        <v>4252.54</v>
      </c>
      <c r="F237">
        <v>8</v>
      </c>
      <c r="G237" t="s">
        <v>26</v>
      </c>
      <c r="H237" s="4">
        <v>4117.13</v>
      </c>
      <c r="I237" s="4">
        <v>4177.0600000000004</v>
      </c>
      <c r="J237" t="s">
        <v>17</v>
      </c>
      <c r="K237" s="2">
        <v>0.25</v>
      </c>
      <c r="L237" t="s">
        <v>27</v>
      </c>
      <c r="M237" t="s">
        <v>22</v>
      </c>
      <c r="N237" t="s">
        <v>50</v>
      </c>
      <c r="O237" s="5">
        <f t="shared" si="3"/>
        <v>479.44000000000233</v>
      </c>
    </row>
    <row r="238" spans="1:15" x14ac:dyDescent="0.35">
      <c r="A238">
        <v>1087</v>
      </c>
      <c r="B238" s="1">
        <v>45223</v>
      </c>
      <c r="C238" t="s">
        <v>14</v>
      </c>
      <c r="D238" t="s">
        <v>34</v>
      </c>
      <c r="E238" s="4">
        <v>7825.62</v>
      </c>
      <c r="F238">
        <v>28</v>
      </c>
      <c r="G238" t="s">
        <v>29</v>
      </c>
      <c r="H238" s="4">
        <v>551.83000000000004</v>
      </c>
      <c r="I238" s="4">
        <v>569.63</v>
      </c>
      <c r="J238" t="s">
        <v>30</v>
      </c>
      <c r="K238" s="2">
        <v>0.13</v>
      </c>
      <c r="L238" t="s">
        <v>31</v>
      </c>
      <c r="M238" t="s">
        <v>22</v>
      </c>
      <c r="N238" t="s">
        <v>46</v>
      </c>
      <c r="O238" s="5">
        <f t="shared" si="3"/>
        <v>498.39999999999873</v>
      </c>
    </row>
    <row r="239" spans="1:15" x14ac:dyDescent="0.35">
      <c r="A239">
        <v>1096</v>
      </c>
      <c r="B239" s="1">
        <v>45140</v>
      </c>
      <c r="C239" t="s">
        <v>14</v>
      </c>
      <c r="D239" t="s">
        <v>15</v>
      </c>
      <c r="E239" s="4">
        <v>4815.72</v>
      </c>
      <c r="F239">
        <v>30</v>
      </c>
      <c r="G239" t="s">
        <v>35</v>
      </c>
      <c r="H239" s="4">
        <v>3969.86</v>
      </c>
      <c r="I239" s="4">
        <v>4281.79</v>
      </c>
      <c r="J239" t="s">
        <v>17</v>
      </c>
      <c r="K239" s="2">
        <v>0.08</v>
      </c>
      <c r="L239" t="s">
        <v>27</v>
      </c>
      <c r="M239" t="s">
        <v>22</v>
      </c>
      <c r="N239" t="s">
        <v>20</v>
      </c>
      <c r="O239" s="5">
        <f t="shared" si="3"/>
        <v>9357.8999999999942</v>
      </c>
    </row>
    <row r="240" spans="1:15" x14ac:dyDescent="0.35">
      <c r="A240">
        <v>1097</v>
      </c>
      <c r="B240" s="1">
        <v>45193</v>
      </c>
      <c r="C240" t="s">
        <v>42</v>
      </c>
      <c r="D240" t="s">
        <v>34</v>
      </c>
      <c r="E240" s="4">
        <v>5025.6400000000003</v>
      </c>
      <c r="F240">
        <v>9</v>
      </c>
      <c r="G240" t="s">
        <v>26</v>
      </c>
      <c r="H240" s="4">
        <v>4067.28</v>
      </c>
      <c r="I240" s="4">
        <v>4548.09</v>
      </c>
      <c r="J240" t="s">
        <v>17</v>
      </c>
      <c r="K240" s="2">
        <v>0.12</v>
      </c>
      <c r="L240" t="s">
        <v>31</v>
      </c>
      <c r="M240" t="s">
        <v>22</v>
      </c>
      <c r="N240" t="s">
        <v>52</v>
      </c>
      <c r="O240" s="5">
        <f t="shared" si="3"/>
        <v>4327.2899999999991</v>
      </c>
    </row>
    <row r="241" spans="1:15" x14ac:dyDescent="0.35">
      <c r="A241">
        <v>1001</v>
      </c>
      <c r="B241" s="1">
        <v>45183</v>
      </c>
      <c r="C241" t="s">
        <v>38</v>
      </c>
      <c r="D241" t="s">
        <v>25</v>
      </c>
      <c r="E241" s="4">
        <v>2126.33</v>
      </c>
      <c r="F241">
        <v>39</v>
      </c>
      <c r="G241" t="s">
        <v>26</v>
      </c>
      <c r="H241" s="4">
        <v>2437.2600000000002</v>
      </c>
      <c r="I241" s="4">
        <v>2889.67</v>
      </c>
      <c r="J241" t="s">
        <v>17</v>
      </c>
      <c r="K241" s="2">
        <v>0.25</v>
      </c>
      <c r="L241" t="s">
        <v>18</v>
      </c>
      <c r="M241" t="s">
        <v>19</v>
      </c>
      <c r="N241" t="s">
        <v>39</v>
      </c>
      <c r="O241" s="5">
        <f t="shared" si="3"/>
        <v>17643.989999999994</v>
      </c>
    </row>
    <row r="242" spans="1:15" x14ac:dyDescent="0.35">
      <c r="A242">
        <v>1019</v>
      </c>
      <c r="B242" s="1">
        <v>45228</v>
      </c>
      <c r="C242" t="s">
        <v>24</v>
      </c>
      <c r="D242" t="s">
        <v>21</v>
      </c>
      <c r="E242" s="4">
        <v>5952.19</v>
      </c>
      <c r="F242">
        <v>31</v>
      </c>
      <c r="G242" t="s">
        <v>26</v>
      </c>
      <c r="H242" s="4">
        <v>333.69</v>
      </c>
      <c r="I242" s="4">
        <v>685.1</v>
      </c>
      <c r="J242" t="s">
        <v>30</v>
      </c>
      <c r="K242" s="2">
        <v>0.04</v>
      </c>
      <c r="L242" t="s">
        <v>27</v>
      </c>
      <c r="M242" t="s">
        <v>19</v>
      </c>
      <c r="N242" t="s">
        <v>47</v>
      </c>
      <c r="O242" s="5">
        <f t="shared" si="3"/>
        <v>10893.710000000001</v>
      </c>
    </row>
    <row r="243" spans="1:15" x14ac:dyDescent="0.35">
      <c r="A243">
        <v>1002</v>
      </c>
      <c r="B243" s="1">
        <v>45027</v>
      </c>
      <c r="C243" t="s">
        <v>14</v>
      </c>
      <c r="D243" t="s">
        <v>15</v>
      </c>
      <c r="E243" s="4">
        <v>1942.75</v>
      </c>
      <c r="F243">
        <v>21</v>
      </c>
      <c r="G243" t="s">
        <v>26</v>
      </c>
      <c r="H243" s="4">
        <v>914.22</v>
      </c>
      <c r="I243" s="4">
        <v>971.57</v>
      </c>
      <c r="J243" t="s">
        <v>17</v>
      </c>
      <c r="K243" s="2">
        <v>0.14000000000000001</v>
      </c>
      <c r="L243" t="s">
        <v>18</v>
      </c>
      <c r="M243" t="s">
        <v>19</v>
      </c>
      <c r="N243" t="s">
        <v>20</v>
      </c>
      <c r="O243" s="5">
        <f t="shared" si="3"/>
        <v>1204.3500000000004</v>
      </c>
    </row>
    <row r="244" spans="1:15" x14ac:dyDescent="0.35">
      <c r="A244">
        <v>1053</v>
      </c>
      <c r="B244" s="1">
        <v>45272</v>
      </c>
      <c r="C244" t="s">
        <v>42</v>
      </c>
      <c r="D244" t="s">
        <v>25</v>
      </c>
      <c r="E244" s="4">
        <v>3382.49</v>
      </c>
      <c r="F244">
        <v>47</v>
      </c>
      <c r="G244" t="s">
        <v>35</v>
      </c>
      <c r="H244" s="4">
        <v>3551.76</v>
      </c>
      <c r="I244" s="4">
        <v>3696.1</v>
      </c>
      <c r="J244" t="s">
        <v>17</v>
      </c>
      <c r="K244" s="2">
        <v>0.15</v>
      </c>
      <c r="L244" t="s">
        <v>27</v>
      </c>
      <c r="M244" t="s">
        <v>22</v>
      </c>
      <c r="N244" t="s">
        <v>43</v>
      </c>
      <c r="O244" s="5">
        <f t="shared" si="3"/>
        <v>6783.979999999985</v>
      </c>
    </row>
    <row r="245" spans="1:15" x14ac:dyDescent="0.35">
      <c r="A245">
        <v>1044</v>
      </c>
      <c r="B245" s="1">
        <v>45036</v>
      </c>
      <c r="C245" t="s">
        <v>33</v>
      </c>
      <c r="D245" t="s">
        <v>21</v>
      </c>
      <c r="E245" s="4">
        <v>8564.7999999999993</v>
      </c>
      <c r="F245">
        <v>34</v>
      </c>
      <c r="G245" t="s">
        <v>26</v>
      </c>
      <c r="H245" s="4">
        <v>3573.3</v>
      </c>
      <c r="I245" s="4">
        <v>3740.13</v>
      </c>
      <c r="J245" t="s">
        <v>17</v>
      </c>
      <c r="K245" s="2">
        <v>0.01</v>
      </c>
      <c r="L245" t="s">
        <v>31</v>
      </c>
      <c r="M245" t="s">
        <v>19</v>
      </c>
      <c r="N245" t="s">
        <v>37</v>
      </c>
      <c r="O245" s="5">
        <f t="shared" si="3"/>
        <v>5672.2199999999975</v>
      </c>
    </row>
    <row r="246" spans="1:15" x14ac:dyDescent="0.35">
      <c r="A246">
        <v>1090</v>
      </c>
      <c r="B246" s="1">
        <v>45108</v>
      </c>
      <c r="C246" t="s">
        <v>24</v>
      </c>
      <c r="D246" t="s">
        <v>15</v>
      </c>
      <c r="E246" s="4">
        <v>2150.0500000000002</v>
      </c>
      <c r="F246">
        <v>31</v>
      </c>
      <c r="G246" t="s">
        <v>16</v>
      </c>
      <c r="H246" s="4">
        <v>4496.8599999999997</v>
      </c>
      <c r="I246" s="4">
        <v>4880.7999999999902</v>
      </c>
      <c r="J246" t="s">
        <v>30</v>
      </c>
      <c r="K246" s="2">
        <v>0.06</v>
      </c>
      <c r="L246" t="s">
        <v>18</v>
      </c>
      <c r="M246" t="s">
        <v>22</v>
      </c>
      <c r="N246" t="s">
        <v>45</v>
      </c>
      <c r="O246" s="5">
        <f t="shared" si="3"/>
        <v>11902.139999999705</v>
      </c>
    </row>
    <row r="247" spans="1:15" x14ac:dyDescent="0.35">
      <c r="A247">
        <v>1032</v>
      </c>
      <c r="B247" s="1">
        <v>45239</v>
      </c>
      <c r="C247" t="s">
        <v>14</v>
      </c>
      <c r="D247" t="s">
        <v>34</v>
      </c>
      <c r="E247" s="4">
        <v>804.47</v>
      </c>
      <c r="F247">
        <v>25</v>
      </c>
      <c r="G247" t="s">
        <v>35</v>
      </c>
      <c r="H247" s="4">
        <v>2934.3</v>
      </c>
      <c r="I247" s="4">
        <v>3337.4</v>
      </c>
      <c r="J247" t="s">
        <v>17</v>
      </c>
      <c r="K247" s="2">
        <v>0.25</v>
      </c>
      <c r="L247" t="s">
        <v>31</v>
      </c>
      <c r="M247" t="s">
        <v>22</v>
      </c>
      <c r="N247" t="s">
        <v>46</v>
      </c>
      <c r="O247" s="5">
        <f t="shared" si="3"/>
        <v>10077.499999999998</v>
      </c>
    </row>
    <row r="248" spans="1:15" x14ac:dyDescent="0.35">
      <c r="A248">
        <v>1070</v>
      </c>
      <c r="B248" s="1">
        <v>44927</v>
      </c>
      <c r="C248" t="s">
        <v>38</v>
      </c>
      <c r="D248" t="s">
        <v>25</v>
      </c>
      <c r="E248" s="4">
        <v>783.18</v>
      </c>
      <c r="F248">
        <v>12</v>
      </c>
      <c r="G248" t="s">
        <v>16</v>
      </c>
      <c r="H248" s="4">
        <v>664.33</v>
      </c>
      <c r="I248" s="4">
        <v>863.03</v>
      </c>
      <c r="J248" t="s">
        <v>17</v>
      </c>
      <c r="K248" s="2">
        <v>0.25</v>
      </c>
      <c r="L248" t="s">
        <v>27</v>
      </c>
      <c r="M248" t="s">
        <v>22</v>
      </c>
      <c r="N248" t="s">
        <v>39</v>
      </c>
      <c r="O248" s="5">
        <f t="shared" si="3"/>
        <v>2384.3999999999992</v>
      </c>
    </row>
    <row r="249" spans="1:15" x14ac:dyDescent="0.35">
      <c r="A249">
        <v>1032</v>
      </c>
      <c r="B249" s="1">
        <v>45245</v>
      </c>
      <c r="C249" t="s">
        <v>42</v>
      </c>
      <c r="D249" t="s">
        <v>21</v>
      </c>
      <c r="E249" s="4">
        <v>9413.77</v>
      </c>
      <c r="F249">
        <v>1</v>
      </c>
      <c r="G249" t="s">
        <v>26</v>
      </c>
      <c r="H249" s="4">
        <v>651</v>
      </c>
      <c r="I249" s="4">
        <v>865.76</v>
      </c>
      <c r="J249" t="s">
        <v>17</v>
      </c>
      <c r="K249" s="2">
        <v>0.09</v>
      </c>
      <c r="L249" t="s">
        <v>27</v>
      </c>
      <c r="M249" t="s">
        <v>22</v>
      </c>
      <c r="N249" t="s">
        <v>51</v>
      </c>
      <c r="O249" s="5">
        <f t="shared" si="3"/>
        <v>214.76</v>
      </c>
    </row>
    <row r="250" spans="1:15" x14ac:dyDescent="0.35">
      <c r="A250">
        <v>1068</v>
      </c>
      <c r="B250" s="1">
        <v>44981</v>
      </c>
      <c r="C250" t="s">
        <v>14</v>
      </c>
      <c r="D250" t="s">
        <v>15</v>
      </c>
      <c r="E250" s="4">
        <v>5118.51</v>
      </c>
      <c r="F250">
        <v>22</v>
      </c>
      <c r="G250" t="s">
        <v>29</v>
      </c>
      <c r="H250" s="4">
        <v>3619.61</v>
      </c>
      <c r="I250" s="4">
        <v>3651.42</v>
      </c>
      <c r="J250" t="s">
        <v>17</v>
      </c>
      <c r="K250" s="2">
        <v>0.26</v>
      </c>
      <c r="L250" t="s">
        <v>27</v>
      </c>
      <c r="M250" t="s">
        <v>19</v>
      </c>
      <c r="N250" t="s">
        <v>20</v>
      </c>
      <c r="O250" s="5">
        <f t="shared" si="3"/>
        <v>699.8199999999988</v>
      </c>
    </row>
    <row r="251" spans="1:15" x14ac:dyDescent="0.35">
      <c r="A251">
        <v>1055</v>
      </c>
      <c r="B251" s="1">
        <v>45075</v>
      </c>
      <c r="C251" t="s">
        <v>38</v>
      </c>
      <c r="D251" t="s">
        <v>15</v>
      </c>
      <c r="E251" s="4">
        <v>4153.18</v>
      </c>
      <c r="F251">
        <v>40</v>
      </c>
      <c r="G251" t="s">
        <v>16</v>
      </c>
      <c r="H251" s="4">
        <v>959.73</v>
      </c>
      <c r="I251" s="4">
        <v>1111.4100000000001</v>
      </c>
      <c r="J251" t="s">
        <v>30</v>
      </c>
      <c r="K251" s="2">
        <v>0.23</v>
      </c>
      <c r="L251" t="s">
        <v>27</v>
      </c>
      <c r="M251" t="s">
        <v>19</v>
      </c>
      <c r="N251" t="s">
        <v>40</v>
      </c>
      <c r="O251" s="5">
        <f t="shared" si="3"/>
        <v>6067.2000000000025</v>
      </c>
    </row>
    <row r="252" spans="1:15" x14ac:dyDescent="0.35">
      <c r="A252">
        <v>1075</v>
      </c>
      <c r="B252" s="1">
        <v>45235</v>
      </c>
      <c r="C252" t="s">
        <v>14</v>
      </c>
      <c r="D252" t="s">
        <v>34</v>
      </c>
      <c r="E252" s="4">
        <v>8127.7</v>
      </c>
      <c r="F252">
        <v>37</v>
      </c>
      <c r="G252" t="s">
        <v>26</v>
      </c>
      <c r="H252" s="4">
        <v>1675.51</v>
      </c>
      <c r="I252" s="4">
        <v>1906.6399999999901</v>
      </c>
      <c r="J252" t="s">
        <v>30</v>
      </c>
      <c r="K252" s="2">
        <v>0.13</v>
      </c>
      <c r="L252" t="s">
        <v>27</v>
      </c>
      <c r="M252" t="s">
        <v>19</v>
      </c>
      <c r="N252" t="s">
        <v>46</v>
      </c>
      <c r="O252" s="5">
        <f t="shared" si="3"/>
        <v>8551.8099999996339</v>
      </c>
    </row>
    <row r="253" spans="1:15" x14ac:dyDescent="0.35">
      <c r="A253">
        <v>1056</v>
      </c>
      <c r="B253" s="1">
        <v>45063</v>
      </c>
      <c r="C253" t="s">
        <v>24</v>
      </c>
      <c r="D253" t="s">
        <v>21</v>
      </c>
      <c r="E253" s="4">
        <v>8374.68</v>
      </c>
      <c r="F253">
        <v>47</v>
      </c>
      <c r="G253" t="s">
        <v>16</v>
      </c>
      <c r="H253" s="4">
        <v>2461.6999999999998</v>
      </c>
      <c r="I253" s="4">
        <v>2529.02</v>
      </c>
      <c r="J253" t="s">
        <v>17</v>
      </c>
      <c r="K253" s="2">
        <v>0.22</v>
      </c>
      <c r="L253" t="s">
        <v>18</v>
      </c>
      <c r="M253" t="s">
        <v>22</v>
      </c>
      <c r="N253" t="s">
        <v>47</v>
      </c>
      <c r="O253" s="5">
        <f t="shared" si="3"/>
        <v>3164.0400000000077</v>
      </c>
    </row>
    <row r="254" spans="1:15" x14ac:dyDescent="0.35">
      <c r="A254">
        <v>1017</v>
      </c>
      <c r="B254" s="1">
        <v>45128</v>
      </c>
      <c r="C254" t="s">
        <v>24</v>
      </c>
      <c r="D254" t="s">
        <v>34</v>
      </c>
      <c r="E254" s="4">
        <v>3388.69</v>
      </c>
      <c r="F254">
        <v>1</v>
      </c>
      <c r="G254" t="s">
        <v>26</v>
      </c>
      <c r="H254" s="4">
        <v>172.59</v>
      </c>
      <c r="I254" s="4">
        <v>404.69</v>
      </c>
      <c r="J254" t="s">
        <v>17</v>
      </c>
      <c r="K254" s="2">
        <v>0.28999999999999998</v>
      </c>
      <c r="L254" t="s">
        <v>27</v>
      </c>
      <c r="M254" t="s">
        <v>19</v>
      </c>
      <c r="N254" t="s">
        <v>50</v>
      </c>
      <c r="O254" s="5">
        <f t="shared" si="3"/>
        <v>232.1</v>
      </c>
    </row>
    <row r="255" spans="1:15" x14ac:dyDescent="0.35">
      <c r="A255">
        <v>1038</v>
      </c>
      <c r="B255" s="1">
        <v>45239</v>
      </c>
      <c r="C255" t="s">
        <v>24</v>
      </c>
      <c r="D255" t="s">
        <v>34</v>
      </c>
      <c r="E255" s="4">
        <v>6966.82</v>
      </c>
      <c r="F255">
        <v>1</v>
      </c>
      <c r="G255" t="s">
        <v>26</v>
      </c>
      <c r="H255" s="4">
        <v>1281.6500000000001</v>
      </c>
      <c r="I255" s="4">
        <v>1709.71</v>
      </c>
      <c r="J255" t="s">
        <v>17</v>
      </c>
      <c r="K255" s="2">
        <v>0.14000000000000001</v>
      </c>
      <c r="L255" t="s">
        <v>31</v>
      </c>
      <c r="M255" t="s">
        <v>19</v>
      </c>
      <c r="N255" t="s">
        <v>50</v>
      </c>
      <c r="O255" s="5">
        <f t="shared" si="3"/>
        <v>428.05999999999995</v>
      </c>
    </row>
    <row r="256" spans="1:15" x14ac:dyDescent="0.35">
      <c r="A256">
        <v>1024</v>
      </c>
      <c r="B256" s="1">
        <v>45043</v>
      </c>
      <c r="C256" t="s">
        <v>42</v>
      </c>
      <c r="D256" t="s">
        <v>21</v>
      </c>
      <c r="E256" s="4">
        <v>7734.12</v>
      </c>
      <c r="F256">
        <v>42</v>
      </c>
      <c r="G256" t="s">
        <v>26</v>
      </c>
      <c r="H256" s="4">
        <v>2069.0500000000002</v>
      </c>
      <c r="I256" s="4">
        <v>2363.9</v>
      </c>
      <c r="J256" t="s">
        <v>17</v>
      </c>
      <c r="K256" s="2">
        <v>7.0000000000000007E-2</v>
      </c>
      <c r="L256" t="s">
        <v>18</v>
      </c>
      <c r="M256" t="s">
        <v>19</v>
      </c>
      <c r="N256" t="s">
        <v>51</v>
      </c>
      <c r="O256" s="5">
        <f t="shared" si="3"/>
        <v>12383.699999999997</v>
      </c>
    </row>
    <row r="257" spans="1:15" x14ac:dyDescent="0.35">
      <c r="A257">
        <v>1069</v>
      </c>
      <c r="B257" s="1">
        <v>45080</v>
      </c>
      <c r="C257" t="s">
        <v>24</v>
      </c>
      <c r="D257" t="s">
        <v>21</v>
      </c>
      <c r="E257" s="4">
        <v>6581.04</v>
      </c>
      <c r="F257">
        <v>42</v>
      </c>
      <c r="G257" t="s">
        <v>29</v>
      </c>
      <c r="H257" s="4">
        <v>1434.2</v>
      </c>
      <c r="I257" s="4">
        <v>1482.88</v>
      </c>
      <c r="J257" t="s">
        <v>30</v>
      </c>
      <c r="K257" s="2">
        <v>0.28000000000000003</v>
      </c>
      <c r="L257" t="s">
        <v>31</v>
      </c>
      <c r="M257" t="s">
        <v>22</v>
      </c>
      <c r="N257" t="s">
        <v>47</v>
      </c>
      <c r="O257" s="5">
        <f t="shared" si="3"/>
        <v>2044.5600000000027</v>
      </c>
    </row>
    <row r="258" spans="1:15" x14ac:dyDescent="0.35">
      <c r="A258">
        <v>1098</v>
      </c>
      <c r="B258" s="1">
        <v>45217</v>
      </c>
      <c r="C258" t="s">
        <v>38</v>
      </c>
      <c r="D258" t="s">
        <v>21</v>
      </c>
      <c r="E258" s="4">
        <v>1600.79</v>
      </c>
      <c r="F258">
        <v>21</v>
      </c>
      <c r="G258" t="s">
        <v>16</v>
      </c>
      <c r="H258" s="4">
        <v>725.03</v>
      </c>
      <c r="I258" s="4">
        <v>828.94999999999902</v>
      </c>
      <c r="J258" t="s">
        <v>30</v>
      </c>
      <c r="K258" s="2">
        <v>0.18</v>
      </c>
      <c r="L258" t="s">
        <v>27</v>
      </c>
      <c r="M258" t="s">
        <v>19</v>
      </c>
      <c r="N258" t="s">
        <v>41</v>
      </c>
      <c r="O258" s="5">
        <f t="shared" ref="O258:O321" si="4">(I258-H258)*F258</f>
        <v>2182.3199999999802</v>
      </c>
    </row>
    <row r="259" spans="1:15" x14ac:dyDescent="0.35">
      <c r="A259">
        <v>1070</v>
      </c>
      <c r="B259" s="1">
        <v>44989</v>
      </c>
      <c r="C259" t="s">
        <v>14</v>
      </c>
      <c r="D259" t="s">
        <v>25</v>
      </c>
      <c r="E259" s="4">
        <v>8771.24</v>
      </c>
      <c r="F259">
        <v>15</v>
      </c>
      <c r="G259" t="s">
        <v>35</v>
      </c>
      <c r="H259" s="4">
        <v>3653.66</v>
      </c>
      <c r="I259" s="4">
        <v>3896.19</v>
      </c>
      <c r="J259" t="s">
        <v>30</v>
      </c>
      <c r="K259" s="2">
        <v>0.03</v>
      </c>
      <c r="L259" t="s">
        <v>31</v>
      </c>
      <c r="M259" t="s">
        <v>22</v>
      </c>
      <c r="N259" t="s">
        <v>32</v>
      </c>
      <c r="O259" s="5">
        <f t="shared" si="4"/>
        <v>3637.950000000003</v>
      </c>
    </row>
    <row r="260" spans="1:15" x14ac:dyDescent="0.35">
      <c r="A260">
        <v>1086</v>
      </c>
      <c r="B260" s="1">
        <v>45170</v>
      </c>
      <c r="C260" t="s">
        <v>33</v>
      </c>
      <c r="D260" t="s">
        <v>21</v>
      </c>
      <c r="E260" s="4">
        <v>5437.04</v>
      </c>
      <c r="F260">
        <v>17</v>
      </c>
      <c r="G260" t="s">
        <v>35</v>
      </c>
      <c r="H260" s="4">
        <v>4075.08</v>
      </c>
      <c r="I260" s="4">
        <v>4262.21</v>
      </c>
      <c r="J260" t="s">
        <v>30</v>
      </c>
      <c r="K260" s="2">
        <v>0.17</v>
      </c>
      <c r="L260" t="s">
        <v>18</v>
      </c>
      <c r="M260" t="s">
        <v>19</v>
      </c>
      <c r="N260" t="s">
        <v>37</v>
      </c>
      <c r="O260" s="5">
        <f t="shared" si="4"/>
        <v>3181.2100000000019</v>
      </c>
    </row>
    <row r="261" spans="1:15" x14ac:dyDescent="0.35">
      <c r="A261">
        <v>1011</v>
      </c>
      <c r="B261" s="1">
        <v>44951</v>
      </c>
      <c r="C261" t="s">
        <v>38</v>
      </c>
      <c r="D261" t="s">
        <v>15</v>
      </c>
      <c r="E261" s="4">
        <v>2896.48</v>
      </c>
      <c r="F261">
        <v>22</v>
      </c>
      <c r="G261" t="s">
        <v>35</v>
      </c>
      <c r="H261" s="4">
        <v>1324.52</v>
      </c>
      <c r="I261" s="4">
        <v>1510.3</v>
      </c>
      <c r="J261" t="s">
        <v>17</v>
      </c>
      <c r="K261" s="2">
        <v>0.15</v>
      </c>
      <c r="L261" t="s">
        <v>18</v>
      </c>
      <c r="M261" t="s">
        <v>22</v>
      </c>
      <c r="N261" t="s">
        <v>40</v>
      </c>
      <c r="O261" s="5">
        <f t="shared" si="4"/>
        <v>4087.1599999999994</v>
      </c>
    </row>
    <row r="262" spans="1:15" x14ac:dyDescent="0.35">
      <c r="A262">
        <v>1016</v>
      </c>
      <c r="B262" s="1">
        <v>45016</v>
      </c>
      <c r="C262" t="s">
        <v>38</v>
      </c>
      <c r="D262" t="s">
        <v>34</v>
      </c>
      <c r="E262" s="4">
        <v>4309.76</v>
      </c>
      <c r="F262">
        <v>38</v>
      </c>
      <c r="G262" t="s">
        <v>35</v>
      </c>
      <c r="H262" s="4">
        <v>3883.38</v>
      </c>
      <c r="I262" s="4">
        <v>4152.72</v>
      </c>
      <c r="J262" t="s">
        <v>17</v>
      </c>
      <c r="K262" s="2">
        <v>0.26</v>
      </c>
      <c r="L262" t="s">
        <v>18</v>
      </c>
      <c r="M262" t="s">
        <v>19</v>
      </c>
      <c r="N262" t="s">
        <v>48</v>
      </c>
      <c r="O262" s="5">
        <f t="shared" si="4"/>
        <v>10234.920000000006</v>
      </c>
    </row>
    <row r="263" spans="1:15" x14ac:dyDescent="0.35">
      <c r="A263">
        <v>1097</v>
      </c>
      <c r="B263" s="1">
        <v>45001</v>
      </c>
      <c r="C263" t="s">
        <v>24</v>
      </c>
      <c r="D263" t="s">
        <v>25</v>
      </c>
      <c r="E263" s="4">
        <v>471.95</v>
      </c>
      <c r="F263">
        <v>35</v>
      </c>
      <c r="G263" t="s">
        <v>26</v>
      </c>
      <c r="H263" s="4">
        <v>1958.49</v>
      </c>
      <c r="I263" s="4">
        <v>2254.84</v>
      </c>
      <c r="J263" t="s">
        <v>30</v>
      </c>
      <c r="K263" s="2">
        <v>0.16</v>
      </c>
      <c r="L263" t="s">
        <v>31</v>
      </c>
      <c r="M263" t="s">
        <v>19</v>
      </c>
      <c r="N263" t="s">
        <v>28</v>
      </c>
      <c r="O263" s="5">
        <f t="shared" si="4"/>
        <v>10372.250000000005</v>
      </c>
    </row>
    <row r="264" spans="1:15" x14ac:dyDescent="0.35">
      <c r="A264">
        <v>1073</v>
      </c>
      <c r="B264" s="1">
        <v>45220</v>
      </c>
      <c r="C264" t="s">
        <v>42</v>
      </c>
      <c r="D264" t="s">
        <v>21</v>
      </c>
      <c r="E264" s="4">
        <v>1365.88</v>
      </c>
      <c r="F264">
        <v>45</v>
      </c>
      <c r="G264" t="s">
        <v>16</v>
      </c>
      <c r="H264" s="4">
        <v>2558.09</v>
      </c>
      <c r="I264" s="4">
        <v>2958.55</v>
      </c>
      <c r="J264" t="s">
        <v>30</v>
      </c>
      <c r="K264" s="2">
        <v>0.08</v>
      </c>
      <c r="L264" t="s">
        <v>18</v>
      </c>
      <c r="M264" t="s">
        <v>19</v>
      </c>
      <c r="N264" t="s">
        <v>51</v>
      </c>
      <c r="O264" s="5">
        <f t="shared" si="4"/>
        <v>18020.7</v>
      </c>
    </row>
    <row r="265" spans="1:15" x14ac:dyDescent="0.35">
      <c r="A265">
        <v>1059</v>
      </c>
      <c r="B265" s="1">
        <v>45136</v>
      </c>
      <c r="C265" t="s">
        <v>14</v>
      </c>
      <c r="D265" t="s">
        <v>25</v>
      </c>
      <c r="E265" s="4">
        <v>7678.91</v>
      </c>
      <c r="F265">
        <v>16</v>
      </c>
      <c r="G265" t="s">
        <v>16</v>
      </c>
      <c r="H265" s="4">
        <v>4287.21</v>
      </c>
      <c r="I265" s="4">
        <v>4464.28</v>
      </c>
      <c r="J265" t="s">
        <v>17</v>
      </c>
      <c r="K265" s="2">
        <v>0.2</v>
      </c>
      <c r="L265" t="s">
        <v>31</v>
      </c>
      <c r="M265" t="s">
        <v>22</v>
      </c>
      <c r="N265" t="s">
        <v>32</v>
      </c>
      <c r="O265" s="5">
        <f t="shared" si="4"/>
        <v>2833.1199999999953</v>
      </c>
    </row>
    <row r="266" spans="1:15" x14ac:dyDescent="0.35">
      <c r="A266">
        <v>1070</v>
      </c>
      <c r="B266" s="1">
        <v>45273</v>
      </c>
      <c r="C266" t="s">
        <v>42</v>
      </c>
      <c r="D266" t="s">
        <v>21</v>
      </c>
      <c r="E266" s="4">
        <v>100.12</v>
      </c>
      <c r="F266">
        <v>8</v>
      </c>
      <c r="G266" t="s">
        <v>29</v>
      </c>
      <c r="H266" s="4">
        <v>3762.27</v>
      </c>
      <c r="I266" s="4">
        <v>4166.95</v>
      </c>
      <c r="J266" t="s">
        <v>17</v>
      </c>
      <c r="K266" s="2">
        <v>0.16</v>
      </c>
      <c r="L266" t="s">
        <v>27</v>
      </c>
      <c r="M266" t="s">
        <v>19</v>
      </c>
      <c r="N266" t="s">
        <v>51</v>
      </c>
      <c r="O266" s="5">
        <f t="shared" si="4"/>
        <v>3237.4399999999987</v>
      </c>
    </row>
    <row r="267" spans="1:15" x14ac:dyDescent="0.35">
      <c r="A267">
        <v>1080</v>
      </c>
      <c r="B267" s="1">
        <v>44943</v>
      </c>
      <c r="C267" t="s">
        <v>14</v>
      </c>
      <c r="D267" t="s">
        <v>25</v>
      </c>
      <c r="E267" s="4">
        <v>4224</v>
      </c>
      <c r="F267">
        <v>47</v>
      </c>
      <c r="G267" t="s">
        <v>16</v>
      </c>
      <c r="H267" s="4">
        <v>4035.33</v>
      </c>
      <c r="I267" s="4">
        <v>4211.25</v>
      </c>
      <c r="J267" t="s">
        <v>17</v>
      </c>
      <c r="K267" s="2">
        <v>7.0000000000000007E-2</v>
      </c>
      <c r="L267" t="s">
        <v>27</v>
      </c>
      <c r="M267" t="s">
        <v>19</v>
      </c>
      <c r="N267" t="s">
        <v>32</v>
      </c>
      <c r="O267" s="5">
        <f t="shared" si="4"/>
        <v>8268.2400000000034</v>
      </c>
    </row>
    <row r="268" spans="1:15" x14ac:dyDescent="0.35">
      <c r="A268">
        <v>1093</v>
      </c>
      <c r="B268" s="1">
        <v>45054</v>
      </c>
      <c r="C268" t="s">
        <v>14</v>
      </c>
      <c r="D268" t="s">
        <v>34</v>
      </c>
      <c r="E268" s="4">
        <v>5272.85</v>
      </c>
      <c r="F268">
        <v>17</v>
      </c>
      <c r="G268" t="s">
        <v>16</v>
      </c>
      <c r="H268" s="4">
        <v>727.38</v>
      </c>
      <c r="I268" s="4">
        <v>764.54</v>
      </c>
      <c r="J268" t="s">
        <v>17</v>
      </c>
      <c r="K268" s="2">
        <v>0.17</v>
      </c>
      <c r="L268" t="s">
        <v>31</v>
      </c>
      <c r="M268" t="s">
        <v>22</v>
      </c>
      <c r="N268" t="s">
        <v>46</v>
      </c>
      <c r="O268" s="5">
        <f t="shared" si="4"/>
        <v>631.71999999999946</v>
      </c>
    </row>
    <row r="269" spans="1:15" x14ac:dyDescent="0.35">
      <c r="A269">
        <v>1003</v>
      </c>
      <c r="B269" s="1">
        <v>45290</v>
      </c>
      <c r="C269" t="s">
        <v>42</v>
      </c>
      <c r="D269" t="s">
        <v>34</v>
      </c>
      <c r="E269" s="4">
        <v>640.88</v>
      </c>
      <c r="F269">
        <v>17</v>
      </c>
      <c r="G269" t="s">
        <v>16</v>
      </c>
      <c r="H269" s="4">
        <v>395.11</v>
      </c>
      <c r="I269" s="4">
        <v>676.66</v>
      </c>
      <c r="J269" t="s">
        <v>17</v>
      </c>
      <c r="K269" s="2">
        <v>0.25</v>
      </c>
      <c r="L269" t="s">
        <v>18</v>
      </c>
      <c r="M269" t="s">
        <v>22</v>
      </c>
      <c r="N269" t="s">
        <v>52</v>
      </c>
      <c r="O269" s="5">
        <f t="shared" si="4"/>
        <v>4786.3499999999995</v>
      </c>
    </row>
    <row r="270" spans="1:15" x14ac:dyDescent="0.35">
      <c r="A270">
        <v>1020</v>
      </c>
      <c r="B270" s="1">
        <v>45177</v>
      </c>
      <c r="C270" t="s">
        <v>38</v>
      </c>
      <c r="D270" t="s">
        <v>15</v>
      </c>
      <c r="E270" s="4">
        <v>9733.4699999999993</v>
      </c>
      <c r="F270">
        <v>26</v>
      </c>
      <c r="G270" t="s">
        <v>29</v>
      </c>
      <c r="H270" s="4">
        <v>4472.3500000000004</v>
      </c>
      <c r="I270" s="4">
        <v>4770.42</v>
      </c>
      <c r="J270" t="s">
        <v>30</v>
      </c>
      <c r="K270" s="2">
        <v>0.01</v>
      </c>
      <c r="L270" t="s">
        <v>31</v>
      </c>
      <c r="M270" t="s">
        <v>22</v>
      </c>
      <c r="N270" t="s">
        <v>40</v>
      </c>
      <c r="O270" s="5">
        <f t="shared" si="4"/>
        <v>7749.8199999999924</v>
      </c>
    </row>
    <row r="271" spans="1:15" x14ac:dyDescent="0.35">
      <c r="A271">
        <v>1059</v>
      </c>
      <c r="B271" s="1">
        <v>45105</v>
      </c>
      <c r="C271" t="s">
        <v>14</v>
      </c>
      <c r="D271" t="s">
        <v>15</v>
      </c>
      <c r="E271" s="4">
        <v>2338.64</v>
      </c>
      <c r="F271">
        <v>13</v>
      </c>
      <c r="G271" t="s">
        <v>35</v>
      </c>
      <c r="H271" s="4">
        <v>1969.78</v>
      </c>
      <c r="I271" s="4">
        <v>2437.6999999999998</v>
      </c>
      <c r="J271" t="s">
        <v>30</v>
      </c>
      <c r="K271" s="2">
        <v>0.19</v>
      </c>
      <c r="L271" t="s">
        <v>31</v>
      </c>
      <c r="M271" t="s">
        <v>22</v>
      </c>
      <c r="N271" t="s">
        <v>20</v>
      </c>
      <c r="O271" s="5">
        <f t="shared" si="4"/>
        <v>6082.9599999999982</v>
      </c>
    </row>
    <row r="272" spans="1:15" x14ac:dyDescent="0.35">
      <c r="A272">
        <v>1036</v>
      </c>
      <c r="B272" s="1">
        <v>45108</v>
      </c>
      <c r="C272" t="s">
        <v>42</v>
      </c>
      <c r="D272" t="s">
        <v>21</v>
      </c>
      <c r="E272" s="4">
        <v>3111.57</v>
      </c>
      <c r="F272">
        <v>17</v>
      </c>
      <c r="G272" t="s">
        <v>16</v>
      </c>
      <c r="H272" s="4">
        <v>1475</v>
      </c>
      <c r="I272" s="4">
        <v>1840.77</v>
      </c>
      <c r="J272" t="s">
        <v>17</v>
      </c>
      <c r="K272" s="2">
        <v>0.1</v>
      </c>
      <c r="L272" t="s">
        <v>31</v>
      </c>
      <c r="M272" t="s">
        <v>19</v>
      </c>
      <c r="N272" t="s">
        <v>51</v>
      </c>
      <c r="O272" s="5">
        <f t="shared" si="4"/>
        <v>6218.09</v>
      </c>
    </row>
    <row r="273" spans="1:15" x14ac:dyDescent="0.35">
      <c r="A273">
        <v>1019</v>
      </c>
      <c r="B273" s="1">
        <v>45078</v>
      </c>
      <c r="C273" t="s">
        <v>14</v>
      </c>
      <c r="D273" t="s">
        <v>34</v>
      </c>
      <c r="E273" s="4">
        <v>3109.03</v>
      </c>
      <c r="F273">
        <v>38</v>
      </c>
      <c r="G273" t="s">
        <v>29</v>
      </c>
      <c r="H273" s="4">
        <v>3637.25</v>
      </c>
      <c r="I273" s="4">
        <v>4096.96</v>
      </c>
      <c r="J273" t="s">
        <v>17</v>
      </c>
      <c r="K273" s="2">
        <v>0.09</v>
      </c>
      <c r="L273" t="s">
        <v>27</v>
      </c>
      <c r="M273" t="s">
        <v>19</v>
      </c>
      <c r="N273" t="s">
        <v>46</v>
      </c>
      <c r="O273" s="5">
        <f t="shared" si="4"/>
        <v>17468.980000000003</v>
      </c>
    </row>
    <row r="274" spans="1:15" x14ac:dyDescent="0.35">
      <c r="A274">
        <v>1090</v>
      </c>
      <c r="B274" s="1">
        <v>44951</v>
      </c>
      <c r="C274" t="s">
        <v>33</v>
      </c>
      <c r="D274" t="s">
        <v>25</v>
      </c>
      <c r="E274" s="4">
        <v>2381.12</v>
      </c>
      <c r="F274">
        <v>17</v>
      </c>
      <c r="G274" t="s">
        <v>29</v>
      </c>
      <c r="H274" s="4">
        <v>4190.26</v>
      </c>
      <c r="I274" s="4">
        <v>4645.3500000000004</v>
      </c>
      <c r="J274" t="s">
        <v>30</v>
      </c>
      <c r="K274" s="2">
        <v>0.12</v>
      </c>
      <c r="L274" t="s">
        <v>31</v>
      </c>
      <c r="M274" t="s">
        <v>22</v>
      </c>
      <c r="N274" t="s">
        <v>44</v>
      </c>
      <c r="O274" s="5">
        <f t="shared" si="4"/>
        <v>7736.5300000000025</v>
      </c>
    </row>
    <row r="275" spans="1:15" x14ac:dyDescent="0.35">
      <c r="A275">
        <v>1067</v>
      </c>
      <c r="B275" s="1">
        <v>45106</v>
      </c>
      <c r="C275" t="s">
        <v>38</v>
      </c>
      <c r="D275" t="s">
        <v>25</v>
      </c>
      <c r="E275" s="4">
        <v>114.59</v>
      </c>
      <c r="F275">
        <v>48</v>
      </c>
      <c r="G275" t="s">
        <v>26</v>
      </c>
      <c r="H275" s="4">
        <v>4319.32</v>
      </c>
      <c r="I275" s="4">
        <v>4625.5599999999904</v>
      </c>
      <c r="J275" t="s">
        <v>17</v>
      </c>
      <c r="K275" s="2">
        <v>0.1</v>
      </c>
      <c r="L275" t="s">
        <v>27</v>
      </c>
      <c r="M275" t="s">
        <v>19</v>
      </c>
      <c r="N275" t="s">
        <v>39</v>
      </c>
      <c r="O275" s="5">
        <f t="shared" si="4"/>
        <v>14699.519999999553</v>
      </c>
    </row>
    <row r="276" spans="1:15" x14ac:dyDescent="0.35">
      <c r="A276">
        <v>1019</v>
      </c>
      <c r="B276" s="1">
        <v>45124</v>
      </c>
      <c r="C276" t="s">
        <v>24</v>
      </c>
      <c r="D276" t="s">
        <v>25</v>
      </c>
      <c r="E276" s="4">
        <v>7320.51</v>
      </c>
      <c r="F276">
        <v>14</v>
      </c>
      <c r="G276" t="s">
        <v>29</v>
      </c>
      <c r="H276" s="4">
        <v>1614.19</v>
      </c>
      <c r="I276" s="4">
        <v>1882.79</v>
      </c>
      <c r="J276" t="s">
        <v>30</v>
      </c>
      <c r="K276" s="2">
        <v>0.25</v>
      </c>
      <c r="L276" t="s">
        <v>31</v>
      </c>
      <c r="M276" t="s">
        <v>22</v>
      </c>
      <c r="N276" t="s">
        <v>28</v>
      </c>
      <c r="O276" s="5">
        <f t="shared" si="4"/>
        <v>3760.3999999999987</v>
      </c>
    </row>
    <row r="277" spans="1:15" x14ac:dyDescent="0.35">
      <c r="A277">
        <v>1020</v>
      </c>
      <c r="B277" s="1">
        <v>45270</v>
      </c>
      <c r="C277" t="s">
        <v>14</v>
      </c>
      <c r="D277" t="s">
        <v>15</v>
      </c>
      <c r="E277" s="4">
        <v>9671.77</v>
      </c>
      <c r="F277">
        <v>45</v>
      </c>
      <c r="G277" t="s">
        <v>35</v>
      </c>
      <c r="H277" s="4">
        <v>4268.45</v>
      </c>
      <c r="I277" s="4">
        <v>4551.5999999999904</v>
      </c>
      <c r="J277" t="s">
        <v>30</v>
      </c>
      <c r="K277" s="2">
        <v>0.08</v>
      </c>
      <c r="L277" t="s">
        <v>27</v>
      </c>
      <c r="M277" t="s">
        <v>19</v>
      </c>
      <c r="N277" t="s">
        <v>20</v>
      </c>
      <c r="O277" s="5">
        <f t="shared" si="4"/>
        <v>12741.749999999574</v>
      </c>
    </row>
    <row r="278" spans="1:15" x14ac:dyDescent="0.35">
      <c r="A278">
        <v>1096</v>
      </c>
      <c r="B278" s="1">
        <v>45087</v>
      </c>
      <c r="C278" t="s">
        <v>33</v>
      </c>
      <c r="D278" t="s">
        <v>25</v>
      </c>
      <c r="E278" s="4">
        <v>2320.5100000000002</v>
      </c>
      <c r="F278">
        <v>6</v>
      </c>
      <c r="G278" t="s">
        <v>16</v>
      </c>
      <c r="H278" s="4">
        <v>252.62</v>
      </c>
      <c r="I278" s="4">
        <v>742</v>
      </c>
      <c r="J278" t="s">
        <v>30</v>
      </c>
      <c r="K278" s="2">
        <v>0.22</v>
      </c>
      <c r="L278" t="s">
        <v>31</v>
      </c>
      <c r="M278" t="s">
        <v>22</v>
      </c>
      <c r="N278" t="s">
        <v>44</v>
      </c>
      <c r="O278" s="5">
        <f t="shared" si="4"/>
        <v>2936.2799999999997</v>
      </c>
    </row>
    <row r="279" spans="1:15" x14ac:dyDescent="0.35">
      <c r="A279">
        <v>1071</v>
      </c>
      <c r="B279" s="1">
        <v>45103</v>
      </c>
      <c r="C279" t="s">
        <v>24</v>
      </c>
      <c r="D279" t="s">
        <v>15</v>
      </c>
      <c r="E279" s="4">
        <v>6664.17</v>
      </c>
      <c r="F279">
        <v>35</v>
      </c>
      <c r="G279" t="s">
        <v>29</v>
      </c>
      <c r="H279" s="4">
        <v>295.82</v>
      </c>
      <c r="I279" s="4">
        <v>684.67</v>
      </c>
      <c r="J279" t="s">
        <v>30</v>
      </c>
      <c r="K279" s="2">
        <v>0.03</v>
      </c>
      <c r="L279" t="s">
        <v>31</v>
      </c>
      <c r="M279" t="s">
        <v>19</v>
      </c>
      <c r="N279" t="s">
        <v>45</v>
      </c>
      <c r="O279" s="5">
        <f t="shared" si="4"/>
        <v>13609.749999999998</v>
      </c>
    </row>
    <row r="280" spans="1:15" x14ac:dyDescent="0.35">
      <c r="A280">
        <v>1052</v>
      </c>
      <c r="B280" s="1">
        <v>45211</v>
      </c>
      <c r="C280" t="s">
        <v>24</v>
      </c>
      <c r="D280" t="s">
        <v>15</v>
      </c>
      <c r="E280" s="4">
        <v>7444.77</v>
      </c>
      <c r="F280">
        <v>46</v>
      </c>
      <c r="G280" t="s">
        <v>35</v>
      </c>
      <c r="H280" s="4">
        <v>3136.42</v>
      </c>
      <c r="I280" s="4">
        <v>3198.49</v>
      </c>
      <c r="J280" t="s">
        <v>17</v>
      </c>
      <c r="K280" s="2">
        <v>0.28999999999999998</v>
      </c>
      <c r="L280" t="s">
        <v>18</v>
      </c>
      <c r="M280" t="s">
        <v>22</v>
      </c>
      <c r="N280" t="s">
        <v>45</v>
      </c>
      <c r="O280" s="5">
        <f t="shared" si="4"/>
        <v>2855.2199999999866</v>
      </c>
    </row>
    <row r="281" spans="1:15" x14ac:dyDescent="0.35">
      <c r="A281">
        <v>1033</v>
      </c>
      <c r="B281" s="1">
        <v>44989</v>
      </c>
      <c r="C281" t="s">
        <v>14</v>
      </c>
      <c r="D281" t="s">
        <v>21</v>
      </c>
      <c r="E281" s="4">
        <v>8499.41</v>
      </c>
      <c r="F281">
        <v>14</v>
      </c>
      <c r="G281" t="s">
        <v>29</v>
      </c>
      <c r="H281" s="4">
        <v>362.38</v>
      </c>
      <c r="I281" s="4">
        <v>753.81</v>
      </c>
      <c r="J281" t="s">
        <v>17</v>
      </c>
      <c r="K281" s="2">
        <v>0.19</v>
      </c>
      <c r="L281" t="s">
        <v>18</v>
      </c>
      <c r="M281" t="s">
        <v>22</v>
      </c>
      <c r="N281" t="s">
        <v>23</v>
      </c>
      <c r="O281" s="5">
        <f t="shared" si="4"/>
        <v>5480.0199999999995</v>
      </c>
    </row>
    <row r="282" spans="1:15" x14ac:dyDescent="0.35">
      <c r="A282">
        <v>1040</v>
      </c>
      <c r="B282" s="1">
        <v>45076</v>
      </c>
      <c r="C282" t="s">
        <v>42</v>
      </c>
      <c r="D282" t="s">
        <v>25</v>
      </c>
      <c r="E282" s="4">
        <v>4284.03</v>
      </c>
      <c r="F282">
        <v>47</v>
      </c>
      <c r="G282" t="s">
        <v>29</v>
      </c>
      <c r="H282" s="4">
        <v>1656.82</v>
      </c>
      <c r="I282" s="4">
        <v>1750.3799999999901</v>
      </c>
      <c r="J282" t="s">
        <v>30</v>
      </c>
      <c r="K282" s="2">
        <v>0.21</v>
      </c>
      <c r="L282" t="s">
        <v>31</v>
      </c>
      <c r="M282" t="s">
        <v>19</v>
      </c>
      <c r="N282" t="s">
        <v>43</v>
      </c>
      <c r="O282" s="5">
        <f t="shared" si="4"/>
        <v>4397.3199999995377</v>
      </c>
    </row>
    <row r="283" spans="1:15" x14ac:dyDescent="0.35">
      <c r="A283">
        <v>1039</v>
      </c>
      <c r="B283" s="1">
        <v>45080</v>
      </c>
      <c r="C283" t="s">
        <v>14</v>
      </c>
      <c r="D283" t="s">
        <v>25</v>
      </c>
      <c r="E283" s="4">
        <v>3099.02</v>
      </c>
      <c r="F283">
        <v>8</v>
      </c>
      <c r="G283" t="s">
        <v>29</v>
      </c>
      <c r="H283" s="4">
        <v>3380.14</v>
      </c>
      <c r="I283" s="4">
        <v>3609.3399999999901</v>
      </c>
      <c r="J283" t="s">
        <v>17</v>
      </c>
      <c r="K283" s="2">
        <v>0.09</v>
      </c>
      <c r="L283" t="s">
        <v>31</v>
      </c>
      <c r="M283" t="s">
        <v>19</v>
      </c>
      <c r="N283" t="s">
        <v>32</v>
      </c>
      <c r="O283" s="5">
        <f t="shared" si="4"/>
        <v>1833.5999999999221</v>
      </c>
    </row>
    <row r="284" spans="1:15" x14ac:dyDescent="0.35">
      <c r="A284">
        <v>1082</v>
      </c>
      <c r="B284" s="1">
        <v>45082</v>
      </c>
      <c r="C284" t="s">
        <v>33</v>
      </c>
      <c r="D284" t="s">
        <v>34</v>
      </c>
      <c r="E284" s="4">
        <v>3320.42</v>
      </c>
      <c r="F284">
        <v>15</v>
      </c>
      <c r="G284" t="s">
        <v>29</v>
      </c>
      <c r="H284" s="4">
        <v>1719.47</v>
      </c>
      <c r="I284" s="4">
        <v>1832.6</v>
      </c>
      <c r="J284" t="s">
        <v>17</v>
      </c>
      <c r="K284" s="2">
        <v>0.12</v>
      </c>
      <c r="L284" t="s">
        <v>31</v>
      </c>
      <c r="M284" t="s">
        <v>19</v>
      </c>
      <c r="N284" t="s">
        <v>36</v>
      </c>
      <c r="O284" s="5">
        <f t="shared" si="4"/>
        <v>1696.9499999999982</v>
      </c>
    </row>
    <row r="285" spans="1:15" x14ac:dyDescent="0.35">
      <c r="A285">
        <v>1001</v>
      </c>
      <c r="B285" s="1">
        <v>44975</v>
      </c>
      <c r="C285" t="s">
        <v>24</v>
      </c>
      <c r="D285" t="s">
        <v>21</v>
      </c>
      <c r="E285" s="4">
        <v>7154.95</v>
      </c>
      <c r="F285">
        <v>27</v>
      </c>
      <c r="G285" t="s">
        <v>29</v>
      </c>
      <c r="H285" s="4">
        <v>939.02</v>
      </c>
      <c r="I285" s="4">
        <v>1286.92</v>
      </c>
      <c r="J285" t="s">
        <v>17</v>
      </c>
      <c r="K285" s="2">
        <v>7.0000000000000007E-2</v>
      </c>
      <c r="L285" t="s">
        <v>31</v>
      </c>
      <c r="M285" t="s">
        <v>22</v>
      </c>
      <c r="N285" t="s">
        <v>47</v>
      </c>
      <c r="O285" s="5">
        <f t="shared" si="4"/>
        <v>9393.3000000000029</v>
      </c>
    </row>
    <row r="286" spans="1:15" x14ac:dyDescent="0.35">
      <c r="A286">
        <v>1011</v>
      </c>
      <c r="B286" s="1">
        <v>45263</v>
      </c>
      <c r="C286" t="s">
        <v>14</v>
      </c>
      <c r="D286" t="s">
        <v>34</v>
      </c>
      <c r="E286" s="4">
        <v>8186.12</v>
      </c>
      <c r="F286">
        <v>13</v>
      </c>
      <c r="G286" t="s">
        <v>35</v>
      </c>
      <c r="H286" s="4">
        <v>1442.69</v>
      </c>
      <c r="I286" s="4">
        <v>1882.57</v>
      </c>
      <c r="J286" t="s">
        <v>17</v>
      </c>
      <c r="K286" s="2">
        <v>0.28000000000000003</v>
      </c>
      <c r="L286" t="s">
        <v>18</v>
      </c>
      <c r="M286" t="s">
        <v>19</v>
      </c>
      <c r="N286" t="s">
        <v>46</v>
      </c>
      <c r="O286" s="5">
        <f t="shared" si="4"/>
        <v>5718.4399999999987</v>
      </c>
    </row>
    <row r="287" spans="1:15" x14ac:dyDescent="0.35">
      <c r="A287">
        <v>1092</v>
      </c>
      <c r="B287" s="1">
        <v>45010</v>
      </c>
      <c r="C287" t="s">
        <v>42</v>
      </c>
      <c r="D287" t="s">
        <v>21</v>
      </c>
      <c r="E287" s="4">
        <v>1897.98</v>
      </c>
      <c r="F287">
        <v>49</v>
      </c>
      <c r="G287" t="s">
        <v>16</v>
      </c>
      <c r="H287" s="4">
        <v>2315</v>
      </c>
      <c r="I287" s="4">
        <v>2467.2800000000002</v>
      </c>
      <c r="J287" t="s">
        <v>30</v>
      </c>
      <c r="K287" s="2">
        <v>0.15</v>
      </c>
      <c r="L287" t="s">
        <v>27</v>
      </c>
      <c r="M287" t="s">
        <v>22</v>
      </c>
      <c r="N287" t="s">
        <v>51</v>
      </c>
      <c r="O287" s="5">
        <f t="shared" si="4"/>
        <v>7461.7200000000103</v>
      </c>
    </row>
    <row r="288" spans="1:15" x14ac:dyDescent="0.35">
      <c r="A288">
        <v>1057</v>
      </c>
      <c r="B288" s="1">
        <v>45287</v>
      </c>
      <c r="C288" t="s">
        <v>14</v>
      </c>
      <c r="D288" t="s">
        <v>25</v>
      </c>
      <c r="E288" s="4">
        <v>3772.32</v>
      </c>
      <c r="F288">
        <v>31</v>
      </c>
      <c r="G288" t="s">
        <v>16</v>
      </c>
      <c r="H288" s="4">
        <v>2403.16</v>
      </c>
      <c r="I288" s="4">
        <v>2453.35</v>
      </c>
      <c r="J288" t="s">
        <v>17</v>
      </c>
      <c r="K288" s="2">
        <v>0.19</v>
      </c>
      <c r="L288" t="s">
        <v>31</v>
      </c>
      <c r="M288" t="s">
        <v>19</v>
      </c>
      <c r="N288" t="s">
        <v>32</v>
      </c>
      <c r="O288" s="5">
        <f t="shared" si="4"/>
        <v>1555.8900000000017</v>
      </c>
    </row>
    <row r="289" spans="1:15" x14ac:dyDescent="0.35">
      <c r="A289">
        <v>1089</v>
      </c>
      <c r="B289" s="1">
        <v>45103</v>
      </c>
      <c r="C289" t="s">
        <v>38</v>
      </c>
      <c r="D289" t="s">
        <v>15</v>
      </c>
      <c r="E289" s="4">
        <v>9029.2099999999991</v>
      </c>
      <c r="F289">
        <v>35</v>
      </c>
      <c r="G289" t="s">
        <v>16</v>
      </c>
      <c r="H289" s="4">
        <v>3925.85</v>
      </c>
      <c r="I289" s="4">
        <v>4082.1099999999901</v>
      </c>
      <c r="J289" t="s">
        <v>30</v>
      </c>
      <c r="K289" s="2">
        <v>0.22</v>
      </c>
      <c r="L289" t="s">
        <v>18</v>
      </c>
      <c r="M289" t="s">
        <v>19</v>
      </c>
      <c r="N289" t="s">
        <v>40</v>
      </c>
      <c r="O289" s="5">
        <f t="shared" si="4"/>
        <v>5469.0999999996575</v>
      </c>
    </row>
    <row r="290" spans="1:15" x14ac:dyDescent="0.35">
      <c r="A290">
        <v>1050</v>
      </c>
      <c r="B290" s="1">
        <v>45074</v>
      </c>
      <c r="C290" t="s">
        <v>42</v>
      </c>
      <c r="D290" t="s">
        <v>15</v>
      </c>
      <c r="E290" s="4">
        <v>8086.27</v>
      </c>
      <c r="F290">
        <v>6</v>
      </c>
      <c r="G290" t="s">
        <v>16</v>
      </c>
      <c r="H290" s="4">
        <v>3763.26</v>
      </c>
      <c r="I290" s="4">
        <v>4102.72</v>
      </c>
      <c r="J290" t="s">
        <v>30</v>
      </c>
      <c r="K290" s="2">
        <v>0.11</v>
      </c>
      <c r="L290" t="s">
        <v>31</v>
      </c>
      <c r="M290" t="s">
        <v>22</v>
      </c>
      <c r="N290" t="s">
        <v>49</v>
      </c>
      <c r="O290" s="5">
        <f t="shared" si="4"/>
        <v>2036.7600000000002</v>
      </c>
    </row>
    <row r="291" spans="1:15" x14ac:dyDescent="0.35">
      <c r="A291">
        <v>1023</v>
      </c>
      <c r="B291" s="1">
        <v>45044</v>
      </c>
      <c r="C291" t="s">
        <v>33</v>
      </c>
      <c r="D291" t="s">
        <v>15</v>
      </c>
      <c r="E291" s="4">
        <v>9850.1</v>
      </c>
      <c r="F291">
        <v>5</v>
      </c>
      <c r="G291" t="s">
        <v>35</v>
      </c>
      <c r="H291" s="4">
        <v>2311.25</v>
      </c>
      <c r="I291" s="4">
        <v>2482.34</v>
      </c>
      <c r="J291" t="s">
        <v>17</v>
      </c>
      <c r="K291" s="2">
        <v>0.22</v>
      </c>
      <c r="L291" t="s">
        <v>31</v>
      </c>
      <c r="M291" t="s">
        <v>22</v>
      </c>
      <c r="N291" t="s">
        <v>53</v>
      </c>
      <c r="O291" s="5">
        <f t="shared" si="4"/>
        <v>855.45000000000073</v>
      </c>
    </row>
    <row r="292" spans="1:15" x14ac:dyDescent="0.35">
      <c r="A292">
        <v>1031</v>
      </c>
      <c r="B292" s="1">
        <v>45268</v>
      </c>
      <c r="C292" t="s">
        <v>24</v>
      </c>
      <c r="D292" t="s">
        <v>15</v>
      </c>
      <c r="E292" s="4">
        <v>7567.06</v>
      </c>
      <c r="F292">
        <v>22</v>
      </c>
      <c r="G292" t="s">
        <v>26</v>
      </c>
      <c r="H292" s="4">
        <v>4236.05</v>
      </c>
      <c r="I292" s="4">
        <v>4382.32</v>
      </c>
      <c r="J292" t="s">
        <v>30</v>
      </c>
      <c r="K292" s="2">
        <v>0.2</v>
      </c>
      <c r="L292" t="s">
        <v>27</v>
      </c>
      <c r="M292" t="s">
        <v>19</v>
      </c>
      <c r="N292" t="s">
        <v>45</v>
      </c>
      <c r="O292" s="5">
        <f t="shared" si="4"/>
        <v>3217.9399999999896</v>
      </c>
    </row>
    <row r="293" spans="1:15" x14ac:dyDescent="0.35">
      <c r="A293">
        <v>1094</v>
      </c>
      <c r="B293" s="1">
        <v>44989</v>
      </c>
      <c r="C293" t="s">
        <v>14</v>
      </c>
      <c r="D293" t="s">
        <v>15</v>
      </c>
      <c r="E293" s="4">
        <v>3992.63</v>
      </c>
      <c r="F293">
        <v>49</v>
      </c>
      <c r="G293" t="s">
        <v>26</v>
      </c>
      <c r="H293" s="4">
        <v>615.47</v>
      </c>
      <c r="I293" s="4">
        <v>715.84</v>
      </c>
      <c r="J293" t="s">
        <v>17</v>
      </c>
      <c r="K293" s="2">
        <v>0.21</v>
      </c>
      <c r="L293" t="s">
        <v>31</v>
      </c>
      <c r="M293" t="s">
        <v>22</v>
      </c>
      <c r="N293" t="s">
        <v>20</v>
      </c>
      <c r="O293" s="5">
        <f t="shared" si="4"/>
        <v>4918.13</v>
      </c>
    </row>
    <row r="294" spans="1:15" x14ac:dyDescent="0.35">
      <c r="A294">
        <v>1042</v>
      </c>
      <c r="B294" s="1">
        <v>45115</v>
      </c>
      <c r="C294" t="s">
        <v>42</v>
      </c>
      <c r="D294" t="s">
        <v>34</v>
      </c>
      <c r="E294" s="4">
        <v>5947.31</v>
      </c>
      <c r="F294">
        <v>23</v>
      </c>
      <c r="G294" t="s">
        <v>35</v>
      </c>
      <c r="H294" s="4">
        <v>1314</v>
      </c>
      <c r="I294" s="4">
        <v>1567.78</v>
      </c>
      <c r="J294" t="s">
        <v>17</v>
      </c>
      <c r="K294" s="2">
        <v>0.15</v>
      </c>
      <c r="L294" t="s">
        <v>31</v>
      </c>
      <c r="M294" t="s">
        <v>22</v>
      </c>
      <c r="N294" t="s">
        <v>52</v>
      </c>
      <c r="O294" s="5">
        <f t="shared" si="4"/>
        <v>5836.94</v>
      </c>
    </row>
    <row r="295" spans="1:15" x14ac:dyDescent="0.35">
      <c r="A295">
        <v>1099</v>
      </c>
      <c r="B295" s="1">
        <v>45286</v>
      </c>
      <c r="C295" t="s">
        <v>38</v>
      </c>
      <c r="D295" t="s">
        <v>21</v>
      </c>
      <c r="E295" s="4">
        <v>6644.04</v>
      </c>
      <c r="F295">
        <v>25</v>
      </c>
      <c r="G295" t="s">
        <v>35</v>
      </c>
      <c r="H295" s="4">
        <v>4148.4799999999996</v>
      </c>
      <c r="I295" s="4">
        <v>4293.6899999999996</v>
      </c>
      <c r="J295" t="s">
        <v>30</v>
      </c>
      <c r="K295" s="2">
        <v>0.11</v>
      </c>
      <c r="L295" t="s">
        <v>27</v>
      </c>
      <c r="M295" t="s">
        <v>19</v>
      </c>
      <c r="N295" t="s">
        <v>41</v>
      </c>
      <c r="O295" s="5">
        <f t="shared" si="4"/>
        <v>3630.2500000000009</v>
      </c>
    </row>
    <row r="296" spans="1:15" x14ac:dyDescent="0.35">
      <c r="A296">
        <v>1007</v>
      </c>
      <c r="B296" s="1">
        <v>44975</v>
      </c>
      <c r="C296" t="s">
        <v>42</v>
      </c>
      <c r="D296" t="s">
        <v>25</v>
      </c>
      <c r="E296" s="4">
        <v>876.71</v>
      </c>
      <c r="F296">
        <v>34</v>
      </c>
      <c r="G296" t="s">
        <v>29</v>
      </c>
      <c r="H296" s="4">
        <v>1921.07</v>
      </c>
      <c r="I296" s="4">
        <v>2289.27</v>
      </c>
      <c r="J296" t="s">
        <v>17</v>
      </c>
      <c r="K296" s="2">
        <v>7.0000000000000007E-2</v>
      </c>
      <c r="L296" t="s">
        <v>27</v>
      </c>
      <c r="M296" t="s">
        <v>22</v>
      </c>
      <c r="N296" t="s">
        <v>43</v>
      </c>
      <c r="O296" s="5">
        <f t="shared" si="4"/>
        <v>12518.800000000001</v>
      </c>
    </row>
    <row r="297" spans="1:15" x14ac:dyDescent="0.35">
      <c r="A297">
        <v>1016</v>
      </c>
      <c r="B297" s="1">
        <v>45253</v>
      </c>
      <c r="C297" t="s">
        <v>38</v>
      </c>
      <c r="D297" t="s">
        <v>34</v>
      </c>
      <c r="E297" s="4">
        <v>5490.52</v>
      </c>
      <c r="F297">
        <v>26</v>
      </c>
      <c r="G297" t="s">
        <v>29</v>
      </c>
      <c r="H297" s="4">
        <v>4906.8500000000004</v>
      </c>
      <c r="I297" s="4">
        <v>4954.3900000000003</v>
      </c>
      <c r="J297" t="s">
        <v>30</v>
      </c>
      <c r="K297" s="2">
        <v>0.25</v>
      </c>
      <c r="L297" t="s">
        <v>27</v>
      </c>
      <c r="M297" t="s">
        <v>19</v>
      </c>
      <c r="N297" t="s">
        <v>48</v>
      </c>
      <c r="O297" s="5">
        <f t="shared" si="4"/>
        <v>1236.0399999999991</v>
      </c>
    </row>
    <row r="298" spans="1:15" x14ac:dyDescent="0.35">
      <c r="A298">
        <v>1090</v>
      </c>
      <c r="B298" s="1">
        <v>45183</v>
      </c>
      <c r="C298" t="s">
        <v>33</v>
      </c>
      <c r="D298" t="s">
        <v>21</v>
      </c>
      <c r="E298" s="4">
        <v>7122.28</v>
      </c>
      <c r="F298">
        <v>47</v>
      </c>
      <c r="G298" t="s">
        <v>29</v>
      </c>
      <c r="H298" s="4">
        <v>2357.9499999999998</v>
      </c>
      <c r="I298" s="4">
        <v>2693.33</v>
      </c>
      <c r="J298" t="s">
        <v>30</v>
      </c>
      <c r="K298" s="2">
        <v>0.18</v>
      </c>
      <c r="L298" t="s">
        <v>27</v>
      </c>
      <c r="M298" t="s">
        <v>19</v>
      </c>
      <c r="N298" t="s">
        <v>37</v>
      </c>
      <c r="O298" s="5">
        <f t="shared" si="4"/>
        <v>15762.860000000004</v>
      </c>
    </row>
    <row r="299" spans="1:15" x14ac:dyDescent="0.35">
      <c r="A299">
        <v>1060</v>
      </c>
      <c r="B299" s="1">
        <v>45150</v>
      </c>
      <c r="C299" t="s">
        <v>24</v>
      </c>
      <c r="D299" t="s">
        <v>15</v>
      </c>
      <c r="E299" s="4">
        <v>1756.48</v>
      </c>
      <c r="F299">
        <v>5</v>
      </c>
      <c r="G299" t="s">
        <v>16</v>
      </c>
      <c r="H299" s="4">
        <v>3970.08</v>
      </c>
      <c r="I299" s="4">
        <v>4096.4799999999996</v>
      </c>
      <c r="J299" t="s">
        <v>17</v>
      </c>
      <c r="K299" s="2">
        <v>0.13</v>
      </c>
      <c r="L299" t="s">
        <v>18</v>
      </c>
      <c r="M299" t="s">
        <v>22</v>
      </c>
      <c r="N299" t="s">
        <v>45</v>
      </c>
      <c r="O299" s="5">
        <f t="shared" si="4"/>
        <v>631.99999999999818</v>
      </c>
    </row>
    <row r="300" spans="1:15" x14ac:dyDescent="0.35">
      <c r="A300">
        <v>1002</v>
      </c>
      <c r="B300" s="1">
        <v>45067</v>
      </c>
      <c r="C300" t="s">
        <v>33</v>
      </c>
      <c r="D300" t="s">
        <v>21</v>
      </c>
      <c r="E300" s="4">
        <v>7828.25</v>
      </c>
      <c r="F300">
        <v>26</v>
      </c>
      <c r="G300" t="s">
        <v>29</v>
      </c>
      <c r="H300" s="4">
        <v>2041.42</v>
      </c>
      <c r="I300" s="4">
        <v>2291.17</v>
      </c>
      <c r="J300" t="s">
        <v>17</v>
      </c>
      <c r="K300" s="2">
        <v>0.28000000000000003</v>
      </c>
      <c r="L300" t="s">
        <v>18</v>
      </c>
      <c r="M300" t="s">
        <v>19</v>
      </c>
      <c r="N300" t="s">
        <v>37</v>
      </c>
      <c r="O300" s="5">
        <f t="shared" si="4"/>
        <v>6493.5</v>
      </c>
    </row>
    <row r="301" spans="1:15" x14ac:dyDescent="0.35">
      <c r="A301">
        <v>1001</v>
      </c>
      <c r="B301" s="1">
        <v>45141</v>
      </c>
      <c r="C301" t="s">
        <v>14</v>
      </c>
      <c r="D301" t="s">
        <v>21</v>
      </c>
      <c r="E301" s="4">
        <v>5879.35</v>
      </c>
      <c r="F301">
        <v>20</v>
      </c>
      <c r="G301" t="s">
        <v>26</v>
      </c>
      <c r="H301" s="4">
        <v>2153.52</v>
      </c>
      <c r="I301" s="4">
        <v>2303.6999999999998</v>
      </c>
      <c r="J301" t="s">
        <v>17</v>
      </c>
      <c r="K301" s="2">
        <v>0.01</v>
      </c>
      <c r="L301" t="s">
        <v>18</v>
      </c>
      <c r="M301" t="s">
        <v>22</v>
      </c>
      <c r="N301" t="s">
        <v>23</v>
      </c>
      <c r="O301" s="5">
        <f t="shared" si="4"/>
        <v>3003.5999999999967</v>
      </c>
    </row>
    <row r="302" spans="1:15" x14ac:dyDescent="0.35">
      <c r="A302">
        <v>1048</v>
      </c>
      <c r="B302" s="1">
        <v>45137</v>
      </c>
      <c r="C302" t="s">
        <v>42</v>
      </c>
      <c r="D302" t="s">
        <v>15</v>
      </c>
      <c r="E302" s="4">
        <v>9527</v>
      </c>
      <c r="F302">
        <v>6</v>
      </c>
      <c r="G302" t="s">
        <v>16</v>
      </c>
      <c r="H302" s="4">
        <v>1945.27</v>
      </c>
      <c r="I302" s="4">
        <v>2309.4299999999998</v>
      </c>
      <c r="J302" t="s">
        <v>30</v>
      </c>
      <c r="K302" s="2">
        <v>0.26</v>
      </c>
      <c r="L302" t="s">
        <v>31</v>
      </c>
      <c r="M302" t="s">
        <v>19</v>
      </c>
      <c r="N302" t="s">
        <v>49</v>
      </c>
      <c r="O302" s="5">
        <f t="shared" si="4"/>
        <v>2184.9599999999991</v>
      </c>
    </row>
    <row r="303" spans="1:15" x14ac:dyDescent="0.35">
      <c r="A303">
        <v>1069</v>
      </c>
      <c r="B303" s="1">
        <v>44958</v>
      </c>
      <c r="C303" t="s">
        <v>38</v>
      </c>
      <c r="D303" t="s">
        <v>15</v>
      </c>
      <c r="E303" s="4">
        <v>2726.73</v>
      </c>
      <c r="F303">
        <v>18</v>
      </c>
      <c r="G303" t="s">
        <v>16</v>
      </c>
      <c r="H303" s="4">
        <v>2760.21</v>
      </c>
      <c r="I303" s="4">
        <v>3219.58</v>
      </c>
      <c r="J303" t="s">
        <v>30</v>
      </c>
      <c r="K303" s="2">
        <v>0.27</v>
      </c>
      <c r="L303" t="s">
        <v>27</v>
      </c>
      <c r="M303" t="s">
        <v>22</v>
      </c>
      <c r="N303" t="s">
        <v>40</v>
      </c>
      <c r="O303" s="5">
        <f t="shared" si="4"/>
        <v>8268.659999999998</v>
      </c>
    </row>
    <row r="304" spans="1:15" x14ac:dyDescent="0.35">
      <c r="A304">
        <v>1037</v>
      </c>
      <c r="B304" s="1">
        <v>45084</v>
      </c>
      <c r="C304" t="s">
        <v>42</v>
      </c>
      <c r="D304" t="s">
        <v>25</v>
      </c>
      <c r="E304" s="4">
        <v>6055.38</v>
      </c>
      <c r="F304">
        <v>4</v>
      </c>
      <c r="G304" t="s">
        <v>26</v>
      </c>
      <c r="H304" s="4">
        <v>4721.7</v>
      </c>
      <c r="I304" s="4">
        <v>5017.58</v>
      </c>
      <c r="J304" t="s">
        <v>30</v>
      </c>
      <c r="K304" s="2">
        <v>0.24</v>
      </c>
      <c r="L304" t="s">
        <v>18</v>
      </c>
      <c r="M304" t="s">
        <v>22</v>
      </c>
      <c r="N304" t="s">
        <v>43</v>
      </c>
      <c r="O304" s="5">
        <f t="shared" si="4"/>
        <v>1183.5200000000004</v>
      </c>
    </row>
    <row r="305" spans="1:15" x14ac:dyDescent="0.35">
      <c r="A305">
        <v>1032</v>
      </c>
      <c r="B305" s="1">
        <v>45211</v>
      </c>
      <c r="C305" t="s">
        <v>42</v>
      </c>
      <c r="D305" t="s">
        <v>15</v>
      </c>
      <c r="E305" s="4">
        <v>3035.94</v>
      </c>
      <c r="F305">
        <v>17</v>
      </c>
      <c r="G305" t="s">
        <v>29</v>
      </c>
      <c r="H305" s="4">
        <v>1291.9100000000001</v>
      </c>
      <c r="I305" s="4">
        <v>1528.59</v>
      </c>
      <c r="J305" t="s">
        <v>17</v>
      </c>
      <c r="K305" s="2">
        <v>0.11</v>
      </c>
      <c r="L305" t="s">
        <v>31</v>
      </c>
      <c r="M305" t="s">
        <v>22</v>
      </c>
      <c r="N305" t="s">
        <v>49</v>
      </c>
      <c r="O305" s="5">
        <f t="shared" si="4"/>
        <v>4023.5599999999972</v>
      </c>
    </row>
    <row r="306" spans="1:15" x14ac:dyDescent="0.35">
      <c r="A306">
        <v>1009</v>
      </c>
      <c r="B306" s="1">
        <v>45231</v>
      </c>
      <c r="C306" t="s">
        <v>14</v>
      </c>
      <c r="D306" t="s">
        <v>25</v>
      </c>
      <c r="E306" s="4">
        <v>7172.8</v>
      </c>
      <c r="F306">
        <v>14</v>
      </c>
      <c r="G306" t="s">
        <v>26</v>
      </c>
      <c r="H306" s="4">
        <v>547.79</v>
      </c>
      <c r="I306" s="4">
        <v>958.76</v>
      </c>
      <c r="J306" t="s">
        <v>17</v>
      </c>
      <c r="K306" s="2">
        <v>7.0000000000000007E-2</v>
      </c>
      <c r="L306" t="s">
        <v>31</v>
      </c>
      <c r="M306" t="s">
        <v>22</v>
      </c>
      <c r="N306" t="s">
        <v>32</v>
      </c>
      <c r="O306" s="5">
        <f t="shared" si="4"/>
        <v>5753.58</v>
      </c>
    </row>
    <row r="307" spans="1:15" x14ac:dyDescent="0.35">
      <c r="A307">
        <v>1099</v>
      </c>
      <c r="B307" s="1">
        <v>45212</v>
      </c>
      <c r="C307" t="s">
        <v>33</v>
      </c>
      <c r="D307" t="s">
        <v>15</v>
      </c>
      <c r="E307" s="4">
        <v>7614.15</v>
      </c>
      <c r="F307">
        <v>14</v>
      </c>
      <c r="G307" t="s">
        <v>26</v>
      </c>
      <c r="H307" s="4">
        <v>1996.64</v>
      </c>
      <c r="I307" s="4">
        <v>2341.4699999999998</v>
      </c>
      <c r="J307" t="s">
        <v>17</v>
      </c>
      <c r="K307" s="2">
        <v>0.22</v>
      </c>
      <c r="L307" t="s">
        <v>31</v>
      </c>
      <c r="M307" t="s">
        <v>19</v>
      </c>
      <c r="N307" t="s">
        <v>53</v>
      </c>
      <c r="O307" s="5">
        <f t="shared" si="4"/>
        <v>4827.6199999999953</v>
      </c>
    </row>
    <row r="308" spans="1:15" x14ac:dyDescent="0.35">
      <c r="A308">
        <v>1019</v>
      </c>
      <c r="B308" s="1">
        <v>45070</v>
      </c>
      <c r="C308" t="s">
        <v>38</v>
      </c>
      <c r="D308" t="s">
        <v>25</v>
      </c>
      <c r="E308" s="4">
        <v>1114.9100000000001</v>
      </c>
      <c r="F308">
        <v>13</v>
      </c>
      <c r="G308" t="s">
        <v>26</v>
      </c>
      <c r="H308" s="4">
        <v>3102.73</v>
      </c>
      <c r="I308" s="4">
        <v>3202.68</v>
      </c>
      <c r="J308" t="s">
        <v>30</v>
      </c>
      <c r="K308" s="2">
        <v>0.09</v>
      </c>
      <c r="L308" t="s">
        <v>18</v>
      </c>
      <c r="M308" t="s">
        <v>19</v>
      </c>
      <c r="N308" t="s">
        <v>39</v>
      </c>
      <c r="O308" s="5">
        <f t="shared" si="4"/>
        <v>1299.3499999999976</v>
      </c>
    </row>
    <row r="309" spans="1:15" x14ac:dyDescent="0.35">
      <c r="A309">
        <v>1048</v>
      </c>
      <c r="B309" s="1">
        <v>44945</v>
      </c>
      <c r="C309" t="s">
        <v>14</v>
      </c>
      <c r="D309" t="s">
        <v>21</v>
      </c>
      <c r="E309" s="4">
        <v>5187.16</v>
      </c>
      <c r="F309">
        <v>7</v>
      </c>
      <c r="G309" t="s">
        <v>29</v>
      </c>
      <c r="H309" s="4">
        <v>4310.95</v>
      </c>
      <c r="I309" s="4">
        <v>4723.2</v>
      </c>
      <c r="J309" t="s">
        <v>17</v>
      </c>
      <c r="K309" s="2">
        <v>0.05</v>
      </c>
      <c r="L309" t="s">
        <v>31</v>
      </c>
      <c r="M309" t="s">
        <v>22</v>
      </c>
      <c r="N309" t="s">
        <v>23</v>
      </c>
      <c r="O309" s="5">
        <f t="shared" si="4"/>
        <v>2885.75</v>
      </c>
    </row>
    <row r="310" spans="1:15" x14ac:dyDescent="0.35">
      <c r="A310">
        <v>1080</v>
      </c>
      <c r="B310" s="1">
        <v>44944</v>
      </c>
      <c r="C310" t="s">
        <v>33</v>
      </c>
      <c r="D310" t="s">
        <v>34</v>
      </c>
      <c r="E310" s="4">
        <v>5138.0200000000004</v>
      </c>
      <c r="F310">
        <v>44</v>
      </c>
      <c r="G310" t="s">
        <v>35</v>
      </c>
      <c r="H310" s="4">
        <v>1763.67</v>
      </c>
      <c r="I310" s="4">
        <v>1983.82</v>
      </c>
      <c r="J310" t="s">
        <v>30</v>
      </c>
      <c r="K310" s="2">
        <v>0.24</v>
      </c>
      <c r="L310" t="s">
        <v>31</v>
      </c>
      <c r="M310" t="s">
        <v>19</v>
      </c>
      <c r="N310" t="s">
        <v>36</v>
      </c>
      <c r="O310" s="5">
        <f t="shared" si="4"/>
        <v>9686.5999999999949</v>
      </c>
    </row>
    <row r="311" spans="1:15" x14ac:dyDescent="0.35">
      <c r="A311">
        <v>1003</v>
      </c>
      <c r="B311" s="1">
        <v>45183</v>
      </c>
      <c r="C311" t="s">
        <v>14</v>
      </c>
      <c r="D311" t="s">
        <v>21</v>
      </c>
      <c r="E311" s="4">
        <v>3755.88</v>
      </c>
      <c r="F311">
        <v>15</v>
      </c>
      <c r="G311" t="s">
        <v>29</v>
      </c>
      <c r="H311" s="4">
        <v>3286.24</v>
      </c>
      <c r="I311" s="4">
        <v>3388.8399999999901</v>
      </c>
      <c r="J311" t="s">
        <v>17</v>
      </c>
      <c r="K311" s="2">
        <v>0.09</v>
      </c>
      <c r="L311" t="s">
        <v>31</v>
      </c>
      <c r="M311" t="s">
        <v>22</v>
      </c>
      <c r="N311" t="s">
        <v>23</v>
      </c>
      <c r="O311" s="5">
        <f t="shared" si="4"/>
        <v>1538.9999999998554</v>
      </c>
    </row>
    <row r="312" spans="1:15" x14ac:dyDescent="0.35">
      <c r="A312">
        <v>1020</v>
      </c>
      <c r="B312" s="1">
        <v>45004</v>
      </c>
      <c r="C312" t="s">
        <v>38</v>
      </c>
      <c r="D312" t="s">
        <v>21</v>
      </c>
      <c r="E312" s="4">
        <v>9335.9599999999991</v>
      </c>
      <c r="F312">
        <v>19</v>
      </c>
      <c r="G312" t="s">
        <v>26</v>
      </c>
      <c r="H312" s="4">
        <v>1783.48</v>
      </c>
      <c r="I312" s="4">
        <v>1931.56</v>
      </c>
      <c r="J312" t="s">
        <v>17</v>
      </c>
      <c r="K312" s="2">
        <v>0.27</v>
      </c>
      <c r="L312" t="s">
        <v>27</v>
      </c>
      <c r="M312" t="s">
        <v>22</v>
      </c>
      <c r="N312" t="s">
        <v>41</v>
      </c>
      <c r="O312" s="5">
        <f t="shared" si="4"/>
        <v>2813.5199999999986</v>
      </c>
    </row>
    <row r="313" spans="1:15" x14ac:dyDescent="0.35">
      <c r="A313">
        <v>1024</v>
      </c>
      <c r="B313" s="1">
        <v>45101</v>
      </c>
      <c r="C313" t="s">
        <v>42</v>
      </c>
      <c r="D313" t="s">
        <v>15</v>
      </c>
      <c r="E313" s="4">
        <v>8292.31</v>
      </c>
      <c r="F313">
        <v>43</v>
      </c>
      <c r="G313" t="s">
        <v>29</v>
      </c>
      <c r="H313" s="4">
        <v>3105.24</v>
      </c>
      <c r="I313" s="4">
        <v>3246.33</v>
      </c>
      <c r="J313" t="s">
        <v>30</v>
      </c>
      <c r="K313" s="2">
        <v>0.25</v>
      </c>
      <c r="L313" t="s">
        <v>18</v>
      </c>
      <c r="M313" t="s">
        <v>19</v>
      </c>
      <c r="N313" t="s">
        <v>49</v>
      </c>
      <c r="O313" s="5">
        <f t="shared" si="4"/>
        <v>6066.8700000000063</v>
      </c>
    </row>
    <row r="314" spans="1:15" x14ac:dyDescent="0.35">
      <c r="A314">
        <v>1054</v>
      </c>
      <c r="B314" s="1">
        <v>45120</v>
      </c>
      <c r="C314" t="s">
        <v>42</v>
      </c>
      <c r="D314" t="s">
        <v>25</v>
      </c>
      <c r="E314" s="4">
        <v>7002.37</v>
      </c>
      <c r="F314">
        <v>47</v>
      </c>
      <c r="G314" t="s">
        <v>26</v>
      </c>
      <c r="H314" s="4">
        <v>4429.8</v>
      </c>
      <c r="I314" s="4">
        <v>4694.21</v>
      </c>
      <c r="J314" t="s">
        <v>30</v>
      </c>
      <c r="K314" s="2">
        <v>0.25</v>
      </c>
      <c r="L314" t="s">
        <v>27</v>
      </c>
      <c r="M314" t="s">
        <v>19</v>
      </c>
      <c r="N314" t="s">
        <v>43</v>
      </c>
      <c r="O314" s="5">
        <f t="shared" si="4"/>
        <v>12427.269999999993</v>
      </c>
    </row>
    <row r="315" spans="1:15" x14ac:dyDescent="0.35">
      <c r="A315">
        <v>1033</v>
      </c>
      <c r="B315" s="1">
        <v>45039</v>
      </c>
      <c r="C315" t="s">
        <v>33</v>
      </c>
      <c r="D315" t="s">
        <v>34</v>
      </c>
      <c r="E315" s="4">
        <v>7171.83</v>
      </c>
      <c r="F315">
        <v>44</v>
      </c>
      <c r="G315" t="s">
        <v>35</v>
      </c>
      <c r="H315" s="4">
        <v>1195.22</v>
      </c>
      <c r="I315" s="4">
        <v>1320.06</v>
      </c>
      <c r="J315" t="s">
        <v>17</v>
      </c>
      <c r="K315" s="2">
        <v>0.23</v>
      </c>
      <c r="L315" t="s">
        <v>27</v>
      </c>
      <c r="M315" t="s">
        <v>22</v>
      </c>
      <c r="N315" t="s">
        <v>36</v>
      </c>
      <c r="O315" s="5">
        <f t="shared" si="4"/>
        <v>5492.9599999999964</v>
      </c>
    </row>
    <row r="316" spans="1:15" x14ac:dyDescent="0.35">
      <c r="A316">
        <v>1024</v>
      </c>
      <c r="B316" s="1">
        <v>45040</v>
      </c>
      <c r="C316" t="s">
        <v>24</v>
      </c>
      <c r="D316" t="s">
        <v>15</v>
      </c>
      <c r="E316" s="4">
        <v>4670.99</v>
      </c>
      <c r="F316">
        <v>35</v>
      </c>
      <c r="G316" t="s">
        <v>16</v>
      </c>
      <c r="H316" s="4">
        <v>2051</v>
      </c>
      <c r="I316" s="4">
        <v>2121.5500000000002</v>
      </c>
      <c r="J316" t="s">
        <v>17</v>
      </c>
      <c r="K316" s="2">
        <v>0.26</v>
      </c>
      <c r="L316" t="s">
        <v>18</v>
      </c>
      <c r="M316" t="s">
        <v>22</v>
      </c>
      <c r="N316" t="s">
        <v>45</v>
      </c>
      <c r="O316" s="5">
        <f t="shared" si="4"/>
        <v>2469.2500000000064</v>
      </c>
    </row>
    <row r="317" spans="1:15" x14ac:dyDescent="0.35">
      <c r="A317">
        <v>1075</v>
      </c>
      <c r="B317" s="1">
        <v>45148</v>
      </c>
      <c r="C317" t="s">
        <v>33</v>
      </c>
      <c r="D317" t="s">
        <v>15</v>
      </c>
      <c r="E317" s="4">
        <v>9217.85</v>
      </c>
      <c r="F317">
        <v>17</v>
      </c>
      <c r="G317" t="s">
        <v>35</v>
      </c>
      <c r="H317" s="4">
        <v>4966.66</v>
      </c>
      <c r="I317" s="4">
        <v>5037.2699999999904</v>
      </c>
      <c r="J317" t="s">
        <v>17</v>
      </c>
      <c r="K317" s="2">
        <v>0.24</v>
      </c>
      <c r="L317" t="s">
        <v>27</v>
      </c>
      <c r="M317" t="s">
        <v>22</v>
      </c>
      <c r="N317" t="s">
        <v>53</v>
      </c>
      <c r="O317" s="5">
        <f t="shared" si="4"/>
        <v>1200.3699999998398</v>
      </c>
    </row>
    <row r="318" spans="1:15" x14ac:dyDescent="0.35">
      <c r="A318">
        <v>1072</v>
      </c>
      <c r="B318" s="1">
        <v>45092</v>
      </c>
      <c r="C318" t="s">
        <v>24</v>
      </c>
      <c r="D318" t="s">
        <v>15</v>
      </c>
      <c r="E318" s="4">
        <v>6976.49</v>
      </c>
      <c r="F318">
        <v>35</v>
      </c>
      <c r="G318" t="s">
        <v>35</v>
      </c>
      <c r="H318" s="4">
        <v>4349.3599999999997</v>
      </c>
      <c r="I318" s="4">
        <v>4645.17</v>
      </c>
      <c r="J318" t="s">
        <v>17</v>
      </c>
      <c r="K318" s="2">
        <v>0.18</v>
      </c>
      <c r="L318" t="s">
        <v>31</v>
      </c>
      <c r="M318" t="s">
        <v>22</v>
      </c>
      <c r="N318" t="s">
        <v>45</v>
      </c>
      <c r="O318" s="5">
        <f t="shared" si="4"/>
        <v>10353.350000000013</v>
      </c>
    </row>
    <row r="319" spans="1:15" x14ac:dyDescent="0.35">
      <c r="A319">
        <v>1036</v>
      </c>
      <c r="B319" s="1">
        <v>45245</v>
      </c>
      <c r="C319" t="s">
        <v>14</v>
      </c>
      <c r="D319" t="s">
        <v>21</v>
      </c>
      <c r="E319" s="4">
        <v>7316.91</v>
      </c>
      <c r="F319">
        <v>19</v>
      </c>
      <c r="G319" t="s">
        <v>16</v>
      </c>
      <c r="H319" s="4">
        <v>2844.97</v>
      </c>
      <c r="I319" s="4">
        <v>3215</v>
      </c>
      <c r="J319" t="s">
        <v>17</v>
      </c>
      <c r="K319" s="2">
        <v>0.09</v>
      </c>
      <c r="L319" t="s">
        <v>31</v>
      </c>
      <c r="M319" t="s">
        <v>22</v>
      </c>
      <c r="N319" t="s">
        <v>23</v>
      </c>
      <c r="O319" s="5">
        <f t="shared" si="4"/>
        <v>7030.5700000000033</v>
      </c>
    </row>
    <row r="320" spans="1:15" x14ac:dyDescent="0.35">
      <c r="A320">
        <v>1038</v>
      </c>
      <c r="B320" s="1">
        <v>45058</v>
      </c>
      <c r="C320" t="s">
        <v>14</v>
      </c>
      <c r="D320" t="s">
        <v>25</v>
      </c>
      <c r="E320" s="4">
        <v>8630.74</v>
      </c>
      <c r="F320">
        <v>20</v>
      </c>
      <c r="G320" t="s">
        <v>29</v>
      </c>
      <c r="H320" s="4">
        <v>2607.31</v>
      </c>
      <c r="I320" s="4">
        <v>2774.86</v>
      </c>
      <c r="J320" t="s">
        <v>30</v>
      </c>
      <c r="K320" s="2">
        <v>0.27</v>
      </c>
      <c r="L320" t="s">
        <v>31</v>
      </c>
      <c r="M320" t="s">
        <v>22</v>
      </c>
      <c r="N320" t="s">
        <v>32</v>
      </c>
      <c r="O320" s="5">
        <f t="shared" si="4"/>
        <v>3351.0000000000036</v>
      </c>
    </row>
    <row r="321" spans="1:15" x14ac:dyDescent="0.35">
      <c r="A321">
        <v>1084</v>
      </c>
      <c r="B321" s="1">
        <v>45190</v>
      </c>
      <c r="C321" t="s">
        <v>38</v>
      </c>
      <c r="D321" t="s">
        <v>25</v>
      </c>
      <c r="E321" s="4">
        <v>2813.31</v>
      </c>
      <c r="F321">
        <v>36</v>
      </c>
      <c r="G321" t="s">
        <v>16</v>
      </c>
      <c r="H321" s="4">
        <v>1458.77</v>
      </c>
      <c r="I321" s="4">
        <v>1485.75</v>
      </c>
      <c r="J321" t="s">
        <v>30</v>
      </c>
      <c r="K321" s="2">
        <v>0.25</v>
      </c>
      <c r="L321" t="s">
        <v>31</v>
      </c>
      <c r="M321" t="s">
        <v>19</v>
      </c>
      <c r="N321" t="s">
        <v>39</v>
      </c>
      <c r="O321" s="5">
        <f t="shared" si="4"/>
        <v>971.28000000000065</v>
      </c>
    </row>
    <row r="322" spans="1:15" x14ac:dyDescent="0.35">
      <c r="A322">
        <v>1099</v>
      </c>
      <c r="B322" s="1">
        <v>44981</v>
      </c>
      <c r="C322" t="s">
        <v>24</v>
      </c>
      <c r="D322" t="s">
        <v>34</v>
      </c>
      <c r="E322" s="4">
        <v>8090</v>
      </c>
      <c r="F322">
        <v>35</v>
      </c>
      <c r="G322" t="s">
        <v>29</v>
      </c>
      <c r="H322" s="4">
        <v>2610.19</v>
      </c>
      <c r="I322" s="4">
        <v>2682.53</v>
      </c>
      <c r="J322" t="s">
        <v>30</v>
      </c>
      <c r="K322" s="2">
        <v>0.14000000000000001</v>
      </c>
      <c r="L322" t="s">
        <v>18</v>
      </c>
      <c r="M322" t="s">
        <v>22</v>
      </c>
      <c r="N322" t="s">
        <v>50</v>
      </c>
      <c r="O322" s="5">
        <f t="shared" ref="O322:O385" si="5">(I322-H322)*F322</f>
        <v>2531.9000000000051</v>
      </c>
    </row>
    <row r="323" spans="1:15" x14ac:dyDescent="0.35">
      <c r="A323">
        <v>1089</v>
      </c>
      <c r="B323" s="1">
        <v>45285</v>
      </c>
      <c r="C323" t="s">
        <v>38</v>
      </c>
      <c r="D323" t="s">
        <v>25</v>
      </c>
      <c r="E323" s="4">
        <v>2032.88</v>
      </c>
      <c r="F323">
        <v>32</v>
      </c>
      <c r="G323" t="s">
        <v>29</v>
      </c>
      <c r="H323" s="4">
        <v>4248.5</v>
      </c>
      <c r="I323" s="4">
        <v>4706.7</v>
      </c>
      <c r="J323" t="s">
        <v>30</v>
      </c>
      <c r="K323" s="2">
        <v>0.01</v>
      </c>
      <c r="L323" t="s">
        <v>27</v>
      </c>
      <c r="M323" t="s">
        <v>22</v>
      </c>
      <c r="N323" t="s">
        <v>39</v>
      </c>
      <c r="O323" s="5">
        <f t="shared" si="5"/>
        <v>14662.399999999994</v>
      </c>
    </row>
    <row r="324" spans="1:15" x14ac:dyDescent="0.35">
      <c r="A324">
        <v>1099</v>
      </c>
      <c r="B324" s="1">
        <v>45057</v>
      </c>
      <c r="C324" t="s">
        <v>42</v>
      </c>
      <c r="D324" t="s">
        <v>25</v>
      </c>
      <c r="E324" s="4">
        <v>3518.89</v>
      </c>
      <c r="F324">
        <v>48</v>
      </c>
      <c r="G324" t="s">
        <v>26</v>
      </c>
      <c r="H324" s="4">
        <v>3441.61</v>
      </c>
      <c r="I324" s="4">
        <v>3693.45</v>
      </c>
      <c r="J324" t="s">
        <v>17</v>
      </c>
      <c r="K324" s="2">
        <v>0.19</v>
      </c>
      <c r="L324" t="s">
        <v>27</v>
      </c>
      <c r="M324" t="s">
        <v>19</v>
      </c>
      <c r="N324" t="s">
        <v>43</v>
      </c>
      <c r="O324" s="5">
        <f t="shared" si="5"/>
        <v>12088.319999999985</v>
      </c>
    </row>
    <row r="325" spans="1:15" x14ac:dyDescent="0.35">
      <c r="A325">
        <v>1025</v>
      </c>
      <c r="B325" s="1">
        <v>45214</v>
      </c>
      <c r="C325" t="s">
        <v>24</v>
      </c>
      <c r="D325" t="s">
        <v>15</v>
      </c>
      <c r="E325" s="4">
        <v>3422.54</v>
      </c>
      <c r="F325">
        <v>44</v>
      </c>
      <c r="G325" t="s">
        <v>26</v>
      </c>
      <c r="H325" s="4">
        <v>1485.72</v>
      </c>
      <c r="I325" s="4">
        <v>1717.97</v>
      </c>
      <c r="J325" t="s">
        <v>30</v>
      </c>
      <c r="K325" s="2">
        <v>0.02</v>
      </c>
      <c r="L325" t="s">
        <v>31</v>
      </c>
      <c r="M325" t="s">
        <v>22</v>
      </c>
      <c r="N325" t="s">
        <v>45</v>
      </c>
      <c r="O325" s="5">
        <f t="shared" si="5"/>
        <v>10219</v>
      </c>
    </row>
    <row r="326" spans="1:15" x14ac:dyDescent="0.35">
      <c r="A326">
        <v>1093</v>
      </c>
      <c r="B326" s="1">
        <v>45192</v>
      </c>
      <c r="C326" t="s">
        <v>33</v>
      </c>
      <c r="D326" t="s">
        <v>15</v>
      </c>
      <c r="E326" s="4">
        <v>9787.4</v>
      </c>
      <c r="F326">
        <v>40</v>
      </c>
      <c r="G326" t="s">
        <v>16</v>
      </c>
      <c r="H326" s="4">
        <v>1047.25</v>
      </c>
      <c r="I326" s="4">
        <v>1075.8900000000001</v>
      </c>
      <c r="J326" t="s">
        <v>30</v>
      </c>
      <c r="K326" s="2">
        <v>0.28000000000000003</v>
      </c>
      <c r="L326" t="s">
        <v>31</v>
      </c>
      <c r="M326" t="s">
        <v>22</v>
      </c>
      <c r="N326" t="s">
        <v>53</v>
      </c>
      <c r="O326" s="5">
        <f t="shared" si="5"/>
        <v>1145.600000000004</v>
      </c>
    </row>
    <row r="327" spans="1:15" x14ac:dyDescent="0.35">
      <c r="A327">
        <v>1018</v>
      </c>
      <c r="B327" s="1">
        <v>45292</v>
      </c>
      <c r="C327" t="s">
        <v>42</v>
      </c>
      <c r="D327" t="s">
        <v>21</v>
      </c>
      <c r="E327" s="4">
        <v>8579.7199999999993</v>
      </c>
      <c r="F327">
        <v>24</v>
      </c>
      <c r="G327" t="s">
        <v>35</v>
      </c>
      <c r="H327" s="4">
        <v>1362.78</v>
      </c>
      <c r="I327" s="4">
        <v>1729.81</v>
      </c>
      <c r="J327" t="s">
        <v>30</v>
      </c>
      <c r="K327" s="2">
        <v>0.28999999999999998</v>
      </c>
      <c r="L327" t="s">
        <v>27</v>
      </c>
      <c r="M327" t="s">
        <v>19</v>
      </c>
      <c r="N327" t="s">
        <v>51</v>
      </c>
      <c r="O327" s="5">
        <f t="shared" si="5"/>
        <v>8808.7199999999993</v>
      </c>
    </row>
    <row r="328" spans="1:15" x14ac:dyDescent="0.35">
      <c r="A328">
        <v>1082</v>
      </c>
      <c r="B328" s="1">
        <v>45088</v>
      </c>
      <c r="C328" t="s">
        <v>42</v>
      </c>
      <c r="D328" t="s">
        <v>15</v>
      </c>
      <c r="E328" s="4">
        <v>7041.58</v>
      </c>
      <c r="F328">
        <v>17</v>
      </c>
      <c r="G328" t="s">
        <v>16</v>
      </c>
      <c r="H328" s="4">
        <v>890.31</v>
      </c>
      <c r="I328" s="4">
        <v>1159.06</v>
      </c>
      <c r="J328" t="s">
        <v>17</v>
      </c>
      <c r="K328" s="2">
        <v>0.06</v>
      </c>
      <c r="L328" t="s">
        <v>18</v>
      </c>
      <c r="M328" t="s">
        <v>22</v>
      </c>
      <c r="N328" t="s">
        <v>49</v>
      </c>
      <c r="O328" s="5">
        <f t="shared" si="5"/>
        <v>4568.75</v>
      </c>
    </row>
    <row r="329" spans="1:15" x14ac:dyDescent="0.35">
      <c r="A329">
        <v>1066</v>
      </c>
      <c r="B329" s="1">
        <v>45013</v>
      </c>
      <c r="C329" t="s">
        <v>33</v>
      </c>
      <c r="D329" t="s">
        <v>15</v>
      </c>
      <c r="E329" s="4">
        <v>7297.86</v>
      </c>
      <c r="F329">
        <v>7</v>
      </c>
      <c r="G329" t="s">
        <v>29</v>
      </c>
      <c r="H329" s="4">
        <v>523.41999999999996</v>
      </c>
      <c r="I329" s="4">
        <v>632.43999999999903</v>
      </c>
      <c r="J329" t="s">
        <v>30</v>
      </c>
      <c r="K329" s="2">
        <v>0.2</v>
      </c>
      <c r="L329" t="s">
        <v>27</v>
      </c>
      <c r="M329" t="s">
        <v>19</v>
      </c>
      <c r="N329" t="s">
        <v>53</v>
      </c>
      <c r="O329" s="5">
        <f t="shared" si="5"/>
        <v>763.13999999999351</v>
      </c>
    </row>
    <row r="330" spans="1:15" x14ac:dyDescent="0.35">
      <c r="A330">
        <v>1054</v>
      </c>
      <c r="B330" s="1">
        <v>44981</v>
      </c>
      <c r="C330" t="s">
        <v>42</v>
      </c>
      <c r="D330" t="s">
        <v>15</v>
      </c>
      <c r="E330" s="4">
        <v>5664.52</v>
      </c>
      <c r="F330">
        <v>43</v>
      </c>
      <c r="G330" t="s">
        <v>26</v>
      </c>
      <c r="H330" s="4">
        <v>2124.7199999999998</v>
      </c>
      <c r="I330" s="4">
        <v>2188.66</v>
      </c>
      <c r="J330" t="s">
        <v>17</v>
      </c>
      <c r="K330" s="2">
        <v>0.03</v>
      </c>
      <c r="L330" t="s">
        <v>31</v>
      </c>
      <c r="M330" t="s">
        <v>22</v>
      </c>
      <c r="N330" t="s">
        <v>49</v>
      </c>
      <c r="O330" s="5">
        <f t="shared" si="5"/>
        <v>2749.4200000000023</v>
      </c>
    </row>
    <row r="331" spans="1:15" x14ac:dyDescent="0.35">
      <c r="A331">
        <v>1035</v>
      </c>
      <c r="B331" s="1">
        <v>45214</v>
      </c>
      <c r="C331" t="s">
        <v>24</v>
      </c>
      <c r="D331" t="s">
        <v>15</v>
      </c>
      <c r="E331" s="4">
        <v>9476.2000000000007</v>
      </c>
      <c r="F331">
        <v>1</v>
      </c>
      <c r="G331" t="s">
        <v>16</v>
      </c>
      <c r="H331" s="4">
        <v>610.83000000000004</v>
      </c>
      <c r="I331" s="4">
        <v>808.69</v>
      </c>
      <c r="J331" t="s">
        <v>30</v>
      </c>
      <c r="K331" s="2">
        <v>0.22</v>
      </c>
      <c r="L331" t="s">
        <v>31</v>
      </c>
      <c r="M331" t="s">
        <v>19</v>
      </c>
      <c r="N331" t="s">
        <v>45</v>
      </c>
      <c r="O331" s="5">
        <f t="shared" si="5"/>
        <v>197.86</v>
      </c>
    </row>
    <row r="332" spans="1:15" x14ac:dyDescent="0.35">
      <c r="A332">
        <v>1080</v>
      </c>
      <c r="B332" s="1">
        <v>45104</v>
      </c>
      <c r="C332" t="s">
        <v>38</v>
      </c>
      <c r="D332" t="s">
        <v>21</v>
      </c>
      <c r="E332" s="4">
        <v>5012.96</v>
      </c>
      <c r="F332">
        <v>35</v>
      </c>
      <c r="G332" t="s">
        <v>16</v>
      </c>
      <c r="H332" s="4">
        <v>900.97</v>
      </c>
      <c r="I332" s="4">
        <v>1321.18</v>
      </c>
      <c r="J332" t="s">
        <v>17</v>
      </c>
      <c r="K332" s="2">
        <v>0.1</v>
      </c>
      <c r="L332" t="s">
        <v>18</v>
      </c>
      <c r="M332" t="s">
        <v>19</v>
      </c>
      <c r="N332" t="s">
        <v>41</v>
      </c>
      <c r="O332" s="5">
        <f t="shared" si="5"/>
        <v>14707.350000000002</v>
      </c>
    </row>
    <row r="333" spans="1:15" x14ac:dyDescent="0.35">
      <c r="A333">
        <v>1061</v>
      </c>
      <c r="B333" s="1">
        <v>45275</v>
      </c>
      <c r="C333" t="s">
        <v>42</v>
      </c>
      <c r="D333" t="s">
        <v>15</v>
      </c>
      <c r="E333" s="4">
        <v>3867.13</v>
      </c>
      <c r="F333">
        <v>32</v>
      </c>
      <c r="G333" t="s">
        <v>26</v>
      </c>
      <c r="H333" s="4">
        <v>2759.26</v>
      </c>
      <c r="I333" s="4">
        <v>3193.25</v>
      </c>
      <c r="J333" t="s">
        <v>30</v>
      </c>
      <c r="K333" s="2">
        <v>0.2</v>
      </c>
      <c r="L333" t="s">
        <v>27</v>
      </c>
      <c r="M333" t="s">
        <v>19</v>
      </c>
      <c r="N333" t="s">
        <v>49</v>
      </c>
      <c r="O333" s="5">
        <f t="shared" si="5"/>
        <v>13887.679999999993</v>
      </c>
    </row>
    <row r="334" spans="1:15" x14ac:dyDescent="0.35">
      <c r="A334">
        <v>1041</v>
      </c>
      <c r="B334" s="1">
        <v>44934</v>
      </c>
      <c r="C334" t="s">
        <v>24</v>
      </c>
      <c r="D334" t="s">
        <v>34</v>
      </c>
      <c r="E334" s="4">
        <v>1714.05</v>
      </c>
      <c r="F334">
        <v>36</v>
      </c>
      <c r="G334" t="s">
        <v>26</v>
      </c>
      <c r="H334" s="4">
        <v>864.77</v>
      </c>
      <c r="I334" s="4">
        <v>1170.1599999999901</v>
      </c>
      <c r="J334" t="s">
        <v>17</v>
      </c>
      <c r="K334" s="2">
        <v>0.11</v>
      </c>
      <c r="L334" t="s">
        <v>18</v>
      </c>
      <c r="M334" t="s">
        <v>22</v>
      </c>
      <c r="N334" t="s">
        <v>50</v>
      </c>
      <c r="O334" s="5">
        <f t="shared" si="5"/>
        <v>10994.039999999644</v>
      </c>
    </row>
    <row r="335" spans="1:15" x14ac:dyDescent="0.35">
      <c r="A335">
        <v>1100</v>
      </c>
      <c r="B335" s="1">
        <v>45247</v>
      </c>
      <c r="C335" t="s">
        <v>14</v>
      </c>
      <c r="D335" t="s">
        <v>34</v>
      </c>
      <c r="E335" s="4">
        <v>7883.44</v>
      </c>
      <c r="F335">
        <v>13</v>
      </c>
      <c r="G335" t="s">
        <v>26</v>
      </c>
      <c r="H335" s="4">
        <v>366.2</v>
      </c>
      <c r="I335" s="4">
        <v>732.69</v>
      </c>
      <c r="J335" t="s">
        <v>30</v>
      </c>
      <c r="K335" s="2">
        <v>0.04</v>
      </c>
      <c r="L335" t="s">
        <v>18</v>
      </c>
      <c r="M335" t="s">
        <v>22</v>
      </c>
      <c r="N335" t="s">
        <v>46</v>
      </c>
      <c r="O335" s="5">
        <f t="shared" si="5"/>
        <v>4764.3700000000008</v>
      </c>
    </row>
    <row r="336" spans="1:15" x14ac:dyDescent="0.35">
      <c r="A336">
        <v>1033</v>
      </c>
      <c r="B336" s="1">
        <v>45239</v>
      </c>
      <c r="C336" t="s">
        <v>24</v>
      </c>
      <c r="D336" t="s">
        <v>34</v>
      </c>
      <c r="E336" s="4">
        <v>7370.99</v>
      </c>
      <c r="F336">
        <v>6</v>
      </c>
      <c r="G336" t="s">
        <v>29</v>
      </c>
      <c r="H336" s="4">
        <v>1621.07</v>
      </c>
      <c r="I336" s="4">
        <v>1687.5</v>
      </c>
      <c r="J336" t="s">
        <v>17</v>
      </c>
      <c r="K336" s="2">
        <v>0.12</v>
      </c>
      <c r="L336" t="s">
        <v>31</v>
      </c>
      <c r="M336" t="s">
        <v>19</v>
      </c>
      <c r="N336" t="s">
        <v>50</v>
      </c>
      <c r="O336" s="5">
        <f t="shared" si="5"/>
        <v>398.58000000000038</v>
      </c>
    </row>
    <row r="337" spans="1:15" x14ac:dyDescent="0.35">
      <c r="A337">
        <v>1068</v>
      </c>
      <c r="B337" s="1">
        <v>45173</v>
      </c>
      <c r="C337" t="s">
        <v>38</v>
      </c>
      <c r="D337" t="s">
        <v>34</v>
      </c>
      <c r="E337" s="4">
        <v>3905.11</v>
      </c>
      <c r="F337">
        <v>14</v>
      </c>
      <c r="G337" t="s">
        <v>26</v>
      </c>
      <c r="H337" s="4">
        <v>1140.58</v>
      </c>
      <c r="I337" s="4">
        <v>1438.76</v>
      </c>
      <c r="J337" t="s">
        <v>17</v>
      </c>
      <c r="K337" s="2">
        <v>0.03</v>
      </c>
      <c r="L337" t="s">
        <v>27</v>
      </c>
      <c r="M337" t="s">
        <v>19</v>
      </c>
      <c r="N337" t="s">
        <v>48</v>
      </c>
      <c r="O337" s="5">
        <f t="shared" si="5"/>
        <v>4174.5200000000004</v>
      </c>
    </row>
    <row r="338" spans="1:15" x14ac:dyDescent="0.35">
      <c r="A338">
        <v>1033</v>
      </c>
      <c r="B338" s="1">
        <v>45249</v>
      </c>
      <c r="C338" t="s">
        <v>24</v>
      </c>
      <c r="D338" t="s">
        <v>15</v>
      </c>
      <c r="E338" s="4">
        <v>349.41</v>
      </c>
      <c r="F338">
        <v>37</v>
      </c>
      <c r="G338" t="s">
        <v>35</v>
      </c>
      <c r="H338" s="4">
        <v>2600.7600000000002</v>
      </c>
      <c r="I338" s="4">
        <v>2937.57</v>
      </c>
      <c r="J338" t="s">
        <v>30</v>
      </c>
      <c r="K338" s="2">
        <v>0.17</v>
      </c>
      <c r="L338" t="s">
        <v>31</v>
      </c>
      <c r="M338" t="s">
        <v>22</v>
      </c>
      <c r="N338" t="s">
        <v>45</v>
      </c>
      <c r="O338" s="5">
        <f t="shared" si="5"/>
        <v>12461.969999999998</v>
      </c>
    </row>
    <row r="339" spans="1:15" x14ac:dyDescent="0.35">
      <c r="A339">
        <v>1014</v>
      </c>
      <c r="B339" s="1">
        <v>45181</v>
      </c>
      <c r="C339" t="s">
        <v>33</v>
      </c>
      <c r="D339" t="s">
        <v>34</v>
      </c>
      <c r="E339" s="4">
        <v>8406.07</v>
      </c>
      <c r="F339">
        <v>48</v>
      </c>
      <c r="G339" t="s">
        <v>16</v>
      </c>
      <c r="H339" s="4">
        <v>556.72</v>
      </c>
      <c r="I339" s="4">
        <v>665.07</v>
      </c>
      <c r="J339" t="s">
        <v>17</v>
      </c>
      <c r="K339" s="2">
        <v>0.01</v>
      </c>
      <c r="L339" t="s">
        <v>27</v>
      </c>
      <c r="M339" t="s">
        <v>22</v>
      </c>
      <c r="N339" t="s">
        <v>36</v>
      </c>
      <c r="O339" s="5">
        <f t="shared" si="5"/>
        <v>5200.8000000000011</v>
      </c>
    </row>
    <row r="340" spans="1:15" x14ac:dyDescent="0.35">
      <c r="A340">
        <v>1021</v>
      </c>
      <c r="B340" s="1">
        <v>45254</v>
      </c>
      <c r="C340" t="s">
        <v>38</v>
      </c>
      <c r="D340" t="s">
        <v>15</v>
      </c>
      <c r="E340" s="4">
        <v>213.04</v>
      </c>
      <c r="F340">
        <v>15</v>
      </c>
      <c r="G340" t="s">
        <v>26</v>
      </c>
      <c r="H340" s="4">
        <v>3771.27</v>
      </c>
      <c r="I340" s="4">
        <v>4212.55</v>
      </c>
      <c r="J340" t="s">
        <v>17</v>
      </c>
      <c r="K340" s="2">
        <v>0.16</v>
      </c>
      <c r="L340" t="s">
        <v>31</v>
      </c>
      <c r="M340" t="s">
        <v>22</v>
      </c>
      <c r="N340" t="s">
        <v>40</v>
      </c>
      <c r="O340" s="5">
        <f t="shared" si="5"/>
        <v>6619.2000000000025</v>
      </c>
    </row>
    <row r="341" spans="1:15" x14ac:dyDescent="0.35">
      <c r="A341">
        <v>1048</v>
      </c>
      <c r="B341" s="1">
        <v>44980</v>
      </c>
      <c r="C341" t="s">
        <v>14</v>
      </c>
      <c r="D341" t="s">
        <v>21</v>
      </c>
      <c r="E341" s="4">
        <v>7066.63</v>
      </c>
      <c r="F341">
        <v>47</v>
      </c>
      <c r="G341" t="s">
        <v>26</v>
      </c>
      <c r="H341" s="4">
        <v>4535.8599999999997</v>
      </c>
      <c r="I341" s="4">
        <v>4641.41</v>
      </c>
      <c r="J341" t="s">
        <v>30</v>
      </c>
      <c r="K341" s="2">
        <v>0.27</v>
      </c>
      <c r="L341" t="s">
        <v>31</v>
      </c>
      <c r="M341" t="s">
        <v>22</v>
      </c>
      <c r="N341" t="s">
        <v>23</v>
      </c>
      <c r="O341" s="5">
        <f t="shared" si="5"/>
        <v>4960.8500000000085</v>
      </c>
    </row>
    <row r="342" spans="1:15" x14ac:dyDescent="0.35">
      <c r="A342">
        <v>1008</v>
      </c>
      <c r="B342" s="1">
        <v>45165</v>
      </c>
      <c r="C342" t="s">
        <v>24</v>
      </c>
      <c r="D342" t="s">
        <v>25</v>
      </c>
      <c r="E342" s="4">
        <v>4432.8500000000004</v>
      </c>
      <c r="F342">
        <v>40</v>
      </c>
      <c r="G342" t="s">
        <v>29</v>
      </c>
      <c r="H342" s="4">
        <v>2687.49</v>
      </c>
      <c r="I342" s="4">
        <v>3001.56</v>
      </c>
      <c r="J342" t="s">
        <v>17</v>
      </c>
      <c r="K342" s="2">
        <v>0.26</v>
      </c>
      <c r="L342" t="s">
        <v>27</v>
      </c>
      <c r="M342" t="s">
        <v>19</v>
      </c>
      <c r="N342" t="s">
        <v>28</v>
      </c>
      <c r="O342" s="5">
        <f t="shared" si="5"/>
        <v>12562.800000000007</v>
      </c>
    </row>
    <row r="343" spans="1:15" x14ac:dyDescent="0.35">
      <c r="A343">
        <v>1007</v>
      </c>
      <c r="B343" s="1">
        <v>45155</v>
      </c>
      <c r="C343" t="s">
        <v>38</v>
      </c>
      <c r="D343" t="s">
        <v>34</v>
      </c>
      <c r="E343" s="4">
        <v>2426.2399999999998</v>
      </c>
      <c r="F343">
        <v>16</v>
      </c>
      <c r="G343" t="s">
        <v>16</v>
      </c>
      <c r="H343" s="4">
        <v>4310.3100000000004</v>
      </c>
      <c r="I343" s="4">
        <v>4633.1000000000004</v>
      </c>
      <c r="J343" t="s">
        <v>30</v>
      </c>
      <c r="K343" s="2">
        <v>0.28000000000000003</v>
      </c>
      <c r="L343" t="s">
        <v>31</v>
      </c>
      <c r="M343" t="s">
        <v>22</v>
      </c>
      <c r="N343" t="s">
        <v>48</v>
      </c>
      <c r="O343" s="5">
        <f t="shared" si="5"/>
        <v>5164.6399999999994</v>
      </c>
    </row>
    <row r="344" spans="1:15" x14ac:dyDescent="0.35">
      <c r="A344">
        <v>1067</v>
      </c>
      <c r="B344" s="1">
        <v>44993</v>
      </c>
      <c r="C344" t="s">
        <v>14</v>
      </c>
      <c r="D344" t="s">
        <v>34</v>
      </c>
      <c r="E344" s="4">
        <v>7078.22</v>
      </c>
      <c r="F344">
        <v>28</v>
      </c>
      <c r="G344" t="s">
        <v>35</v>
      </c>
      <c r="H344" s="4">
        <v>3489.85</v>
      </c>
      <c r="I344" s="4">
        <v>3842.5499999999902</v>
      </c>
      <c r="J344" t="s">
        <v>30</v>
      </c>
      <c r="K344" s="2">
        <v>0.03</v>
      </c>
      <c r="L344" t="s">
        <v>27</v>
      </c>
      <c r="M344" t="s">
        <v>19</v>
      </c>
      <c r="N344" t="s">
        <v>46</v>
      </c>
      <c r="O344" s="5">
        <f t="shared" si="5"/>
        <v>9875.5999999997275</v>
      </c>
    </row>
    <row r="345" spans="1:15" x14ac:dyDescent="0.35">
      <c r="A345">
        <v>1017</v>
      </c>
      <c r="B345" s="1">
        <v>44977</v>
      </c>
      <c r="C345" t="s">
        <v>33</v>
      </c>
      <c r="D345" t="s">
        <v>15</v>
      </c>
      <c r="E345" s="4">
        <v>8189.57</v>
      </c>
      <c r="F345">
        <v>16</v>
      </c>
      <c r="G345" t="s">
        <v>16</v>
      </c>
      <c r="H345" s="4">
        <v>102.23</v>
      </c>
      <c r="I345" s="4">
        <v>167.12</v>
      </c>
      <c r="J345" t="s">
        <v>30</v>
      </c>
      <c r="K345" s="2">
        <v>0.04</v>
      </c>
      <c r="L345" t="s">
        <v>31</v>
      </c>
      <c r="M345" t="s">
        <v>22</v>
      </c>
      <c r="N345" t="s">
        <v>53</v>
      </c>
      <c r="O345" s="5">
        <f t="shared" si="5"/>
        <v>1038.24</v>
      </c>
    </row>
    <row r="346" spans="1:15" x14ac:dyDescent="0.35">
      <c r="A346">
        <v>1033</v>
      </c>
      <c r="B346" s="1">
        <v>45023</v>
      </c>
      <c r="C346" t="s">
        <v>14</v>
      </c>
      <c r="D346" t="s">
        <v>34</v>
      </c>
      <c r="E346" s="4">
        <v>5509.66</v>
      </c>
      <c r="F346">
        <v>4</v>
      </c>
      <c r="G346" t="s">
        <v>26</v>
      </c>
      <c r="H346" s="4">
        <v>2000.75</v>
      </c>
      <c r="I346" s="4">
        <v>2426.9899999999998</v>
      </c>
      <c r="J346" t="s">
        <v>17</v>
      </c>
      <c r="K346" s="2">
        <v>0.17</v>
      </c>
      <c r="L346" t="s">
        <v>27</v>
      </c>
      <c r="M346" t="s">
        <v>19</v>
      </c>
      <c r="N346" t="s">
        <v>46</v>
      </c>
      <c r="O346" s="5">
        <f t="shared" si="5"/>
        <v>1704.9599999999991</v>
      </c>
    </row>
    <row r="347" spans="1:15" x14ac:dyDescent="0.35">
      <c r="A347">
        <v>1048</v>
      </c>
      <c r="B347" s="1">
        <v>45018</v>
      </c>
      <c r="C347" t="s">
        <v>24</v>
      </c>
      <c r="D347" t="s">
        <v>25</v>
      </c>
      <c r="E347" s="4">
        <v>9673.65</v>
      </c>
      <c r="F347">
        <v>45</v>
      </c>
      <c r="G347" t="s">
        <v>35</v>
      </c>
      <c r="H347" s="4">
        <v>4262.21</v>
      </c>
      <c r="I347" s="4">
        <v>4533.3100000000004</v>
      </c>
      <c r="J347" t="s">
        <v>17</v>
      </c>
      <c r="K347" s="2">
        <v>0.27</v>
      </c>
      <c r="L347" t="s">
        <v>31</v>
      </c>
      <c r="M347" t="s">
        <v>19</v>
      </c>
      <c r="N347" t="s">
        <v>28</v>
      </c>
      <c r="O347" s="5">
        <f t="shared" si="5"/>
        <v>12199.500000000016</v>
      </c>
    </row>
    <row r="348" spans="1:15" x14ac:dyDescent="0.35">
      <c r="A348">
        <v>1076</v>
      </c>
      <c r="B348" s="1">
        <v>45190</v>
      </c>
      <c r="C348" t="s">
        <v>14</v>
      </c>
      <c r="D348" t="s">
        <v>15</v>
      </c>
      <c r="E348" s="4">
        <v>611.52</v>
      </c>
      <c r="F348">
        <v>26</v>
      </c>
      <c r="G348" t="s">
        <v>35</v>
      </c>
      <c r="H348" s="4">
        <v>1762</v>
      </c>
      <c r="I348" s="4">
        <v>2002.95</v>
      </c>
      <c r="J348" t="s">
        <v>17</v>
      </c>
      <c r="K348" s="2">
        <v>0.28999999999999998</v>
      </c>
      <c r="L348" t="s">
        <v>31</v>
      </c>
      <c r="M348" t="s">
        <v>22</v>
      </c>
      <c r="N348" t="s">
        <v>20</v>
      </c>
      <c r="O348" s="5">
        <f t="shared" si="5"/>
        <v>6264.7000000000007</v>
      </c>
    </row>
    <row r="349" spans="1:15" x14ac:dyDescent="0.35">
      <c r="A349">
        <v>1059</v>
      </c>
      <c r="B349" s="1">
        <v>45217</v>
      </c>
      <c r="C349" t="s">
        <v>42</v>
      </c>
      <c r="D349" t="s">
        <v>15</v>
      </c>
      <c r="E349" s="4">
        <v>5097.4799999999996</v>
      </c>
      <c r="F349">
        <v>28</v>
      </c>
      <c r="G349" t="s">
        <v>35</v>
      </c>
      <c r="H349" s="4">
        <v>224.32</v>
      </c>
      <c r="I349" s="4">
        <v>715.06</v>
      </c>
      <c r="J349" t="s">
        <v>17</v>
      </c>
      <c r="K349" s="2">
        <v>0.01</v>
      </c>
      <c r="L349" t="s">
        <v>31</v>
      </c>
      <c r="M349" t="s">
        <v>19</v>
      </c>
      <c r="N349" t="s">
        <v>49</v>
      </c>
      <c r="O349" s="5">
        <f t="shared" si="5"/>
        <v>13740.72</v>
      </c>
    </row>
    <row r="350" spans="1:15" x14ac:dyDescent="0.35">
      <c r="A350">
        <v>1086</v>
      </c>
      <c r="B350" s="1">
        <v>45022</v>
      </c>
      <c r="C350" t="s">
        <v>33</v>
      </c>
      <c r="D350" t="s">
        <v>21</v>
      </c>
      <c r="E350" s="4">
        <v>7212.69</v>
      </c>
      <c r="F350">
        <v>32</v>
      </c>
      <c r="G350" t="s">
        <v>35</v>
      </c>
      <c r="H350" s="4">
        <v>3743.59</v>
      </c>
      <c r="I350" s="4">
        <v>4116.38</v>
      </c>
      <c r="J350" t="s">
        <v>17</v>
      </c>
      <c r="K350" s="2">
        <v>0.11</v>
      </c>
      <c r="L350" t="s">
        <v>18</v>
      </c>
      <c r="M350" t="s">
        <v>19</v>
      </c>
      <c r="N350" t="s">
        <v>37</v>
      </c>
      <c r="O350" s="5">
        <f t="shared" si="5"/>
        <v>11929.279999999999</v>
      </c>
    </row>
    <row r="351" spans="1:15" x14ac:dyDescent="0.35">
      <c r="A351">
        <v>1022</v>
      </c>
      <c r="B351" s="1">
        <v>45014</v>
      </c>
      <c r="C351" t="s">
        <v>14</v>
      </c>
      <c r="D351" t="s">
        <v>21</v>
      </c>
      <c r="E351" s="4">
        <v>8640.14</v>
      </c>
      <c r="F351">
        <v>45</v>
      </c>
      <c r="G351" t="s">
        <v>16</v>
      </c>
      <c r="H351" s="4">
        <v>4020.09</v>
      </c>
      <c r="I351" s="4">
        <v>4087.91</v>
      </c>
      <c r="J351" t="s">
        <v>17</v>
      </c>
      <c r="K351" s="2">
        <v>0.06</v>
      </c>
      <c r="L351" t="s">
        <v>27</v>
      </c>
      <c r="M351" t="s">
        <v>19</v>
      </c>
      <c r="N351" t="s">
        <v>23</v>
      </c>
      <c r="O351" s="5">
        <f t="shared" si="5"/>
        <v>3051.8999999999869</v>
      </c>
    </row>
    <row r="352" spans="1:15" x14ac:dyDescent="0.35">
      <c r="A352">
        <v>1030</v>
      </c>
      <c r="B352" s="1">
        <v>45004</v>
      </c>
      <c r="C352" t="s">
        <v>24</v>
      </c>
      <c r="D352" t="s">
        <v>34</v>
      </c>
      <c r="E352" s="4">
        <v>1874.63</v>
      </c>
      <c r="F352">
        <v>2</v>
      </c>
      <c r="G352" t="s">
        <v>29</v>
      </c>
      <c r="H352" s="4">
        <v>844.94</v>
      </c>
      <c r="I352" s="4">
        <v>1225.6400000000001</v>
      </c>
      <c r="J352" t="s">
        <v>17</v>
      </c>
      <c r="K352" s="2">
        <v>0.23</v>
      </c>
      <c r="L352" t="s">
        <v>31</v>
      </c>
      <c r="M352" t="s">
        <v>19</v>
      </c>
      <c r="N352" t="s">
        <v>50</v>
      </c>
      <c r="O352" s="5">
        <f t="shared" si="5"/>
        <v>761.40000000000009</v>
      </c>
    </row>
    <row r="353" spans="1:15" x14ac:dyDescent="0.35">
      <c r="A353">
        <v>1038</v>
      </c>
      <c r="B353" s="1">
        <v>45214</v>
      </c>
      <c r="C353" t="s">
        <v>24</v>
      </c>
      <c r="D353" t="s">
        <v>21</v>
      </c>
      <c r="E353" s="4">
        <v>8020.03</v>
      </c>
      <c r="F353">
        <v>31</v>
      </c>
      <c r="G353" t="s">
        <v>29</v>
      </c>
      <c r="H353" s="4">
        <v>2709.84</v>
      </c>
      <c r="I353" s="4">
        <v>2766.51</v>
      </c>
      <c r="J353" t="s">
        <v>30</v>
      </c>
      <c r="K353" s="2">
        <v>0.19</v>
      </c>
      <c r="L353" t="s">
        <v>18</v>
      </c>
      <c r="M353" t="s">
        <v>22</v>
      </c>
      <c r="N353" t="s">
        <v>47</v>
      </c>
      <c r="O353" s="5">
        <f t="shared" si="5"/>
        <v>1756.7700000000023</v>
      </c>
    </row>
    <row r="354" spans="1:15" x14ac:dyDescent="0.35">
      <c r="A354">
        <v>1051</v>
      </c>
      <c r="B354" s="1">
        <v>45046</v>
      </c>
      <c r="C354" t="s">
        <v>14</v>
      </c>
      <c r="D354" t="s">
        <v>21</v>
      </c>
      <c r="E354" s="4">
        <v>5571.8</v>
      </c>
      <c r="F354">
        <v>3</v>
      </c>
      <c r="G354" t="s">
        <v>26</v>
      </c>
      <c r="H354" s="4">
        <v>1000.18</v>
      </c>
      <c r="I354" s="4">
        <v>1023.64</v>
      </c>
      <c r="J354" t="s">
        <v>17</v>
      </c>
      <c r="K354" s="2">
        <v>0.04</v>
      </c>
      <c r="L354" t="s">
        <v>31</v>
      </c>
      <c r="M354" t="s">
        <v>19</v>
      </c>
      <c r="N354" t="s">
        <v>23</v>
      </c>
      <c r="O354" s="5">
        <f t="shared" si="5"/>
        <v>70.380000000000109</v>
      </c>
    </row>
    <row r="355" spans="1:15" x14ac:dyDescent="0.35">
      <c r="A355">
        <v>1054</v>
      </c>
      <c r="B355" s="1">
        <v>45228</v>
      </c>
      <c r="C355" t="s">
        <v>24</v>
      </c>
      <c r="D355" t="s">
        <v>21</v>
      </c>
      <c r="E355" s="4">
        <v>4025.88</v>
      </c>
      <c r="F355">
        <v>8</v>
      </c>
      <c r="G355" t="s">
        <v>29</v>
      </c>
      <c r="H355" s="4">
        <v>3610.21</v>
      </c>
      <c r="I355" s="4">
        <v>3817.99</v>
      </c>
      <c r="J355" t="s">
        <v>17</v>
      </c>
      <c r="K355" s="2">
        <v>0.15</v>
      </c>
      <c r="L355" t="s">
        <v>18</v>
      </c>
      <c r="M355" t="s">
        <v>22</v>
      </c>
      <c r="N355" t="s">
        <v>47</v>
      </c>
      <c r="O355" s="5">
        <f t="shared" si="5"/>
        <v>1662.239999999998</v>
      </c>
    </row>
    <row r="356" spans="1:15" x14ac:dyDescent="0.35">
      <c r="A356">
        <v>1008</v>
      </c>
      <c r="B356" s="1">
        <v>45091</v>
      </c>
      <c r="C356" t="s">
        <v>38</v>
      </c>
      <c r="D356" t="s">
        <v>15</v>
      </c>
      <c r="E356" s="4">
        <v>1403.98</v>
      </c>
      <c r="F356">
        <v>24</v>
      </c>
      <c r="G356" t="s">
        <v>29</v>
      </c>
      <c r="H356" s="4">
        <v>1394.17</v>
      </c>
      <c r="I356" s="4">
        <v>1891.02</v>
      </c>
      <c r="J356" t="s">
        <v>30</v>
      </c>
      <c r="K356" s="2">
        <v>0.21</v>
      </c>
      <c r="L356" t="s">
        <v>31</v>
      </c>
      <c r="M356" t="s">
        <v>19</v>
      </c>
      <c r="N356" t="s">
        <v>40</v>
      </c>
      <c r="O356" s="5">
        <f t="shared" si="5"/>
        <v>11924.399999999998</v>
      </c>
    </row>
    <row r="357" spans="1:15" x14ac:dyDescent="0.35">
      <c r="A357">
        <v>1027</v>
      </c>
      <c r="B357" s="1">
        <v>45108</v>
      </c>
      <c r="C357" t="s">
        <v>38</v>
      </c>
      <c r="D357" t="s">
        <v>15</v>
      </c>
      <c r="E357" s="4">
        <v>8666.43</v>
      </c>
      <c r="F357">
        <v>15</v>
      </c>
      <c r="G357" t="s">
        <v>29</v>
      </c>
      <c r="H357" s="4">
        <v>1615.26</v>
      </c>
      <c r="I357" s="4">
        <v>1710.95</v>
      </c>
      <c r="J357" t="s">
        <v>30</v>
      </c>
      <c r="K357" s="2">
        <v>0.23</v>
      </c>
      <c r="L357" t="s">
        <v>31</v>
      </c>
      <c r="M357" t="s">
        <v>22</v>
      </c>
      <c r="N357" t="s">
        <v>40</v>
      </c>
      <c r="O357" s="5">
        <f t="shared" si="5"/>
        <v>1435.3500000000008</v>
      </c>
    </row>
    <row r="358" spans="1:15" x14ac:dyDescent="0.35">
      <c r="A358">
        <v>1027</v>
      </c>
      <c r="B358" s="1">
        <v>45149</v>
      </c>
      <c r="C358" t="s">
        <v>38</v>
      </c>
      <c r="D358" t="s">
        <v>15</v>
      </c>
      <c r="E358" s="4">
        <v>1657</v>
      </c>
      <c r="F358">
        <v>43</v>
      </c>
      <c r="G358" t="s">
        <v>29</v>
      </c>
      <c r="H358" s="4">
        <v>4232.6099999999997</v>
      </c>
      <c r="I358" s="4">
        <v>4572.21</v>
      </c>
      <c r="J358" t="s">
        <v>30</v>
      </c>
      <c r="K358" s="2">
        <v>0.01</v>
      </c>
      <c r="L358" t="s">
        <v>18</v>
      </c>
      <c r="M358" t="s">
        <v>22</v>
      </c>
      <c r="N358" t="s">
        <v>40</v>
      </c>
      <c r="O358" s="5">
        <f t="shared" si="5"/>
        <v>14602.800000000016</v>
      </c>
    </row>
    <row r="359" spans="1:15" x14ac:dyDescent="0.35">
      <c r="A359">
        <v>1098</v>
      </c>
      <c r="B359" s="1">
        <v>45237</v>
      </c>
      <c r="C359" t="s">
        <v>42</v>
      </c>
      <c r="D359" t="s">
        <v>21</v>
      </c>
      <c r="E359" s="4">
        <v>3166.9</v>
      </c>
      <c r="F359">
        <v>31</v>
      </c>
      <c r="G359" t="s">
        <v>26</v>
      </c>
      <c r="H359" s="4">
        <v>2407.8000000000002</v>
      </c>
      <c r="I359" s="4">
        <v>2502.7600000000002</v>
      </c>
      <c r="J359" t="s">
        <v>17</v>
      </c>
      <c r="K359" s="2">
        <v>0.27</v>
      </c>
      <c r="L359" t="s">
        <v>18</v>
      </c>
      <c r="M359" t="s">
        <v>22</v>
      </c>
      <c r="N359" t="s">
        <v>51</v>
      </c>
      <c r="O359" s="5">
        <f t="shared" si="5"/>
        <v>2943.7600000000011</v>
      </c>
    </row>
    <row r="360" spans="1:15" x14ac:dyDescent="0.35">
      <c r="A360">
        <v>1021</v>
      </c>
      <c r="B360" s="1">
        <v>44933</v>
      </c>
      <c r="C360" t="s">
        <v>14</v>
      </c>
      <c r="D360" t="s">
        <v>15</v>
      </c>
      <c r="E360" s="4">
        <v>2971.45</v>
      </c>
      <c r="F360">
        <v>9</v>
      </c>
      <c r="G360" t="s">
        <v>16</v>
      </c>
      <c r="H360" s="4">
        <v>3365.28</v>
      </c>
      <c r="I360" s="4">
        <v>3730.43</v>
      </c>
      <c r="J360" t="s">
        <v>30</v>
      </c>
      <c r="K360" s="2">
        <v>0.17</v>
      </c>
      <c r="L360" t="s">
        <v>27</v>
      </c>
      <c r="M360" t="s">
        <v>19</v>
      </c>
      <c r="N360" t="s">
        <v>20</v>
      </c>
      <c r="O360" s="5">
        <f t="shared" si="5"/>
        <v>3286.3499999999967</v>
      </c>
    </row>
    <row r="361" spans="1:15" x14ac:dyDescent="0.35">
      <c r="A361">
        <v>1030</v>
      </c>
      <c r="B361" s="1">
        <v>45256</v>
      </c>
      <c r="C361" t="s">
        <v>42</v>
      </c>
      <c r="D361" t="s">
        <v>21</v>
      </c>
      <c r="E361" s="4">
        <v>8727</v>
      </c>
      <c r="F361">
        <v>39</v>
      </c>
      <c r="G361" t="s">
        <v>35</v>
      </c>
      <c r="H361" s="4">
        <v>2041.75</v>
      </c>
      <c r="I361" s="4">
        <v>2299.37</v>
      </c>
      <c r="J361" t="s">
        <v>17</v>
      </c>
      <c r="K361" s="2">
        <v>0.24</v>
      </c>
      <c r="L361" t="s">
        <v>27</v>
      </c>
      <c r="M361" t="s">
        <v>22</v>
      </c>
      <c r="N361" t="s">
        <v>51</v>
      </c>
      <c r="O361" s="5">
        <f t="shared" si="5"/>
        <v>10047.179999999997</v>
      </c>
    </row>
    <row r="362" spans="1:15" x14ac:dyDescent="0.35">
      <c r="A362">
        <v>1097</v>
      </c>
      <c r="B362" s="1">
        <v>45189</v>
      </c>
      <c r="C362" t="s">
        <v>24</v>
      </c>
      <c r="D362" t="s">
        <v>15</v>
      </c>
      <c r="E362" s="4">
        <v>6759.76</v>
      </c>
      <c r="F362">
        <v>45</v>
      </c>
      <c r="G362" t="s">
        <v>29</v>
      </c>
      <c r="H362" s="4">
        <v>1525.13</v>
      </c>
      <c r="I362" s="4">
        <v>1868.32</v>
      </c>
      <c r="J362" t="s">
        <v>17</v>
      </c>
      <c r="K362" s="2">
        <v>0.24</v>
      </c>
      <c r="L362" t="s">
        <v>18</v>
      </c>
      <c r="M362" t="s">
        <v>22</v>
      </c>
      <c r="N362" t="s">
        <v>45</v>
      </c>
      <c r="O362" s="5">
        <f t="shared" si="5"/>
        <v>15443.549999999992</v>
      </c>
    </row>
    <row r="363" spans="1:15" x14ac:dyDescent="0.35">
      <c r="A363">
        <v>1028</v>
      </c>
      <c r="B363" s="1">
        <v>45087</v>
      </c>
      <c r="C363" t="s">
        <v>42</v>
      </c>
      <c r="D363" t="s">
        <v>15</v>
      </c>
      <c r="E363" s="4">
        <v>7987.15</v>
      </c>
      <c r="F363">
        <v>2</v>
      </c>
      <c r="G363" t="s">
        <v>16</v>
      </c>
      <c r="H363" s="4">
        <v>3146.12</v>
      </c>
      <c r="I363" s="4">
        <v>3255.5299999999902</v>
      </c>
      <c r="J363" t="s">
        <v>17</v>
      </c>
      <c r="K363" s="2">
        <v>0.06</v>
      </c>
      <c r="L363" t="s">
        <v>27</v>
      </c>
      <c r="M363" t="s">
        <v>19</v>
      </c>
      <c r="N363" t="s">
        <v>49</v>
      </c>
      <c r="O363" s="5">
        <f t="shared" si="5"/>
        <v>218.81999999998061</v>
      </c>
    </row>
    <row r="364" spans="1:15" x14ac:dyDescent="0.35">
      <c r="A364">
        <v>1064</v>
      </c>
      <c r="B364" s="1">
        <v>45077</v>
      </c>
      <c r="C364" t="s">
        <v>24</v>
      </c>
      <c r="D364" t="s">
        <v>25</v>
      </c>
      <c r="E364" s="4">
        <v>2579.63</v>
      </c>
      <c r="F364">
        <v>8</v>
      </c>
      <c r="G364" t="s">
        <v>29</v>
      </c>
      <c r="H364" s="4">
        <v>816.54</v>
      </c>
      <c r="I364" s="4">
        <v>1191.9000000000001</v>
      </c>
      <c r="J364" t="s">
        <v>30</v>
      </c>
      <c r="K364" s="2">
        <v>0.03</v>
      </c>
      <c r="L364" t="s">
        <v>18</v>
      </c>
      <c r="M364" t="s">
        <v>22</v>
      </c>
      <c r="N364" t="s">
        <v>28</v>
      </c>
      <c r="O364" s="5">
        <f t="shared" si="5"/>
        <v>3002.880000000001</v>
      </c>
    </row>
    <row r="365" spans="1:15" x14ac:dyDescent="0.35">
      <c r="A365">
        <v>1097</v>
      </c>
      <c r="B365" s="1">
        <v>45011</v>
      </c>
      <c r="C365" t="s">
        <v>24</v>
      </c>
      <c r="D365" t="s">
        <v>34</v>
      </c>
      <c r="E365" s="4">
        <v>6286.25</v>
      </c>
      <c r="F365">
        <v>7</v>
      </c>
      <c r="G365" t="s">
        <v>29</v>
      </c>
      <c r="H365" s="4">
        <v>1896.35</v>
      </c>
      <c r="I365" s="4">
        <v>2394.1999999999998</v>
      </c>
      <c r="J365" t="s">
        <v>30</v>
      </c>
      <c r="K365" s="2">
        <v>0.22</v>
      </c>
      <c r="L365" t="s">
        <v>27</v>
      </c>
      <c r="M365" t="s">
        <v>19</v>
      </c>
      <c r="N365" t="s">
        <v>50</v>
      </c>
      <c r="O365" s="5">
        <f t="shared" si="5"/>
        <v>3484.9499999999994</v>
      </c>
    </row>
    <row r="366" spans="1:15" x14ac:dyDescent="0.35">
      <c r="A366">
        <v>1069</v>
      </c>
      <c r="B366" s="1">
        <v>45073</v>
      </c>
      <c r="C366" t="s">
        <v>33</v>
      </c>
      <c r="D366" t="s">
        <v>21</v>
      </c>
      <c r="E366" s="4">
        <v>5760.29</v>
      </c>
      <c r="F366">
        <v>44</v>
      </c>
      <c r="G366" t="s">
        <v>35</v>
      </c>
      <c r="H366" s="4">
        <v>1084.73</v>
      </c>
      <c r="I366" s="4">
        <v>1420.9</v>
      </c>
      <c r="J366" t="s">
        <v>17</v>
      </c>
      <c r="K366" s="2">
        <v>0.05</v>
      </c>
      <c r="L366" t="s">
        <v>31</v>
      </c>
      <c r="M366" t="s">
        <v>19</v>
      </c>
      <c r="N366" t="s">
        <v>37</v>
      </c>
      <c r="O366" s="5">
        <f t="shared" si="5"/>
        <v>14791.480000000003</v>
      </c>
    </row>
    <row r="367" spans="1:15" x14ac:dyDescent="0.35">
      <c r="A367">
        <v>1061</v>
      </c>
      <c r="B367" s="1">
        <v>45038</v>
      </c>
      <c r="C367" t="s">
        <v>38</v>
      </c>
      <c r="D367" t="s">
        <v>25</v>
      </c>
      <c r="E367" s="4">
        <v>8345.02</v>
      </c>
      <c r="F367">
        <v>39</v>
      </c>
      <c r="G367" t="s">
        <v>35</v>
      </c>
      <c r="H367" s="4">
        <v>3494.19</v>
      </c>
      <c r="I367" s="4">
        <v>3746</v>
      </c>
      <c r="J367" t="s">
        <v>17</v>
      </c>
      <c r="K367" s="2">
        <v>0.25</v>
      </c>
      <c r="L367" t="s">
        <v>27</v>
      </c>
      <c r="M367" t="s">
        <v>22</v>
      </c>
      <c r="N367" t="s">
        <v>39</v>
      </c>
      <c r="O367" s="5">
        <f t="shared" si="5"/>
        <v>9820.5899999999983</v>
      </c>
    </row>
    <row r="368" spans="1:15" x14ac:dyDescent="0.35">
      <c r="A368">
        <v>1048</v>
      </c>
      <c r="B368" s="1">
        <v>44962</v>
      </c>
      <c r="C368" t="s">
        <v>24</v>
      </c>
      <c r="D368" t="s">
        <v>15</v>
      </c>
      <c r="E368" s="4">
        <v>9070.26</v>
      </c>
      <c r="F368">
        <v>42</v>
      </c>
      <c r="G368" t="s">
        <v>35</v>
      </c>
      <c r="H368" s="4">
        <v>4723.83</v>
      </c>
      <c r="I368" s="4">
        <v>5186.1899999999996</v>
      </c>
      <c r="J368" t="s">
        <v>17</v>
      </c>
      <c r="K368" s="2">
        <v>0.22</v>
      </c>
      <c r="L368" t="s">
        <v>31</v>
      </c>
      <c r="M368" t="s">
        <v>19</v>
      </c>
      <c r="N368" t="s">
        <v>45</v>
      </c>
      <c r="O368" s="5">
        <f t="shared" si="5"/>
        <v>19419.119999999988</v>
      </c>
    </row>
    <row r="369" spans="1:15" x14ac:dyDescent="0.35">
      <c r="A369">
        <v>1019</v>
      </c>
      <c r="B369" s="1">
        <v>45211</v>
      </c>
      <c r="C369" t="s">
        <v>33</v>
      </c>
      <c r="D369" t="s">
        <v>21</v>
      </c>
      <c r="E369" s="4">
        <v>220.35</v>
      </c>
      <c r="F369">
        <v>16</v>
      </c>
      <c r="G369" t="s">
        <v>29</v>
      </c>
      <c r="H369" s="4">
        <v>4977.78</v>
      </c>
      <c r="I369" s="4">
        <v>4995.55</v>
      </c>
      <c r="J369" t="s">
        <v>30</v>
      </c>
      <c r="K369" s="2">
        <v>0.25</v>
      </c>
      <c r="L369" t="s">
        <v>31</v>
      </c>
      <c r="M369" t="s">
        <v>19</v>
      </c>
      <c r="N369" t="s">
        <v>37</v>
      </c>
      <c r="O369" s="5">
        <f t="shared" si="5"/>
        <v>284.32000000000698</v>
      </c>
    </row>
    <row r="370" spans="1:15" x14ac:dyDescent="0.35">
      <c r="A370">
        <v>1004</v>
      </c>
      <c r="B370" s="1">
        <v>45114</v>
      </c>
      <c r="C370" t="s">
        <v>38</v>
      </c>
      <c r="D370" t="s">
        <v>15</v>
      </c>
      <c r="E370" s="4">
        <v>6772.8</v>
      </c>
      <c r="F370">
        <v>35</v>
      </c>
      <c r="G370" t="s">
        <v>29</v>
      </c>
      <c r="H370" s="4">
        <v>2278.87</v>
      </c>
      <c r="I370" s="4">
        <v>2646.5299999999902</v>
      </c>
      <c r="J370" t="s">
        <v>17</v>
      </c>
      <c r="K370" s="2">
        <v>0.09</v>
      </c>
      <c r="L370" t="s">
        <v>27</v>
      </c>
      <c r="M370" t="s">
        <v>19</v>
      </c>
      <c r="N370" t="s">
        <v>40</v>
      </c>
      <c r="O370" s="5">
        <f t="shared" si="5"/>
        <v>12868.09999999966</v>
      </c>
    </row>
    <row r="371" spans="1:15" x14ac:dyDescent="0.35">
      <c r="A371">
        <v>1035</v>
      </c>
      <c r="B371" s="1">
        <v>45008</v>
      </c>
      <c r="C371" t="s">
        <v>24</v>
      </c>
      <c r="D371" t="s">
        <v>34</v>
      </c>
      <c r="E371" s="4">
        <v>613.16999999999996</v>
      </c>
      <c r="F371">
        <v>30</v>
      </c>
      <c r="G371" t="s">
        <v>29</v>
      </c>
      <c r="H371" s="4">
        <v>1300.03</v>
      </c>
      <c r="I371" s="4">
        <v>1745.52</v>
      </c>
      <c r="J371" t="s">
        <v>30</v>
      </c>
      <c r="K371" s="2">
        <v>0.09</v>
      </c>
      <c r="L371" t="s">
        <v>18</v>
      </c>
      <c r="M371" t="s">
        <v>22</v>
      </c>
      <c r="N371" t="s">
        <v>50</v>
      </c>
      <c r="O371" s="5">
        <f t="shared" si="5"/>
        <v>13364.7</v>
      </c>
    </row>
    <row r="372" spans="1:15" x14ac:dyDescent="0.35">
      <c r="A372">
        <v>1064</v>
      </c>
      <c r="B372" s="1">
        <v>44928</v>
      </c>
      <c r="C372" t="s">
        <v>24</v>
      </c>
      <c r="D372" t="s">
        <v>25</v>
      </c>
      <c r="E372" s="4">
        <v>5533.7</v>
      </c>
      <c r="F372">
        <v>10</v>
      </c>
      <c r="G372" t="s">
        <v>35</v>
      </c>
      <c r="H372" s="4">
        <v>2242.0100000000002</v>
      </c>
      <c r="I372" s="4">
        <v>2282.23</v>
      </c>
      <c r="J372" t="s">
        <v>17</v>
      </c>
      <c r="K372" s="2">
        <v>0.2</v>
      </c>
      <c r="L372" t="s">
        <v>31</v>
      </c>
      <c r="M372" t="s">
        <v>19</v>
      </c>
      <c r="N372" t="s">
        <v>28</v>
      </c>
      <c r="O372" s="5">
        <f t="shared" si="5"/>
        <v>402.199999999998</v>
      </c>
    </row>
    <row r="373" spans="1:15" x14ac:dyDescent="0.35">
      <c r="A373">
        <v>1049</v>
      </c>
      <c r="B373" s="1">
        <v>45229</v>
      </c>
      <c r="C373" t="s">
        <v>42</v>
      </c>
      <c r="D373" t="s">
        <v>34</v>
      </c>
      <c r="E373" s="4">
        <v>2947.56</v>
      </c>
      <c r="F373">
        <v>38</v>
      </c>
      <c r="G373" t="s">
        <v>26</v>
      </c>
      <c r="H373" s="4">
        <v>4243.9799999999996</v>
      </c>
      <c r="I373" s="4">
        <v>4474.5099999999902</v>
      </c>
      <c r="J373" t="s">
        <v>30</v>
      </c>
      <c r="K373" s="2">
        <v>0.01</v>
      </c>
      <c r="L373" t="s">
        <v>31</v>
      </c>
      <c r="M373" t="s">
        <v>19</v>
      </c>
      <c r="N373" t="s">
        <v>52</v>
      </c>
      <c r="O373" s="5">
        <f t="shared" si="5"/>
        <v>8760.1399999996447</v>
      </c>
    </row>
    <row r="374" spans="1:15" x14ac:dyDescent="0.35">
      <c r="A374">
        <v>1017</v>
      </c>
      <c r="B374" s="1">
        <v>45123</v>
      </c>
      <c r="C374" t="s">
        <v>42</v>
      </c>
      <c r="D374" t="s">
        <v>25</v>
      </c>
      <c r="E374" s="4">
        <v>3137.09</v>
      </c>
      <c r="F374">
        <v>18</v>
      </c>
      <c r="G374" t="s">
        <v>16</v>
      </c>
      <c r="H374" s="4">
        <v>1069.73</v>
      </c>
      <c r="I374" s="4">
        <v>1180.04</v>
      </c>
      <c r="J374" t="s">
        <v>17</v>
      </c>
      <c r="K374" s="2">
        <v>0.22</v>
      </c>
      <c r="L374" t="s">
        <v>27</v>
      </c>
      <c r="M374" t="s">
        <v>19</v>
      </c>
      <c r="N374" t="s">
        <v>43</v>
      </c>
      <c r="O374" s="5">
        <f t="shared" si="5"/>
        <v>1985.579999999999</v>
      </c>
    </row>
    <row r="375" spans="1:15" x14ac:dyDescent="0.35">
      <c r="A375">
        <v>1044</v>
      </c>
      <c r="B375" s="1">
        <v>44937</v>
      </c>
      <c r="C375" t="s">
        <v>38</v>
      </c>
      <c r="D375" t="s">
        <v>15</v>
      </c>
      <c r="E375" s="4">
        <v>3594.29</v>
      </c>
      <c r="F375">
        <v>5</v>
      </c>
      <c r="G375" t="s">
        <v>26</v>
      </c>
      <c r="H375" s="4">
        <v>4762.87</v>
      </c>
      <c r="I375" s="4">
        <v>5050.46</v>
      </c>
      <c r="J375" t="s">
        <v>30</v>
      </c>
      <c r="K375" s="2">
        <v>0.25</v>
      </c>
      <c r="L375" t="s">
        <v>18</v>
      </c>
      <c r="M375" t="s">
        <v>22</v>
      </c>
      <c r="N375" t="s">
        <v>40</v>
      </c>
      <c r="O375" s="5">
        <f t="shared" si="5"/>
        <v>1437.9500000000007</v>
      </c>
    </row>
    <row r="376" spans="1:15" x14ac:dyDescent="0.35">
      <c r="A376">
        <v>1092</v>
      </c>
      <c r="B376" s="1">
        <v>45160</v>
      </c>
      <c r="C376" t="s">
        <v>24</v>
      </c>
      <c r="D376" t="s">
        <v>34</v>
      </c>
      <c r="E376" s="4">
        <v>6250.8</v>
      </c>
      <c r="F376">
        <v>29</v>
      </c>
      <c r="G376" t="s">
        <v>29</v>
      </c>
      <c r="H376" s="4">
        <v>1742.24</v>
      </c>
      <c r="I376" s="4">
        <v>2070.52</v>
      </c>
      <c r="J376" t="s">
        <v>30</v>
      </c>
      <c r="K376" s="2">
        <v>0.12</v>
      </c>
      <c r="L376" t="s">
        <v>18</v>
      </c>
      <c r="M376" t="s">
        <v>19</v>
      </c>
      <c r="N376" t="s">
        <v>50</v>
      </c>
      <c r="O376" s="5">
        <f t="shared" si="5"/>
        <v>9520.119999999999</v>
      </c>
    </row>
    <row r="377" spans="1:15" x14ac:dyDescent="0.35">
      <c r="A377">
        <v>1030</v>
      </c>
      <c r="B377" s="1">
        <v>45121</v>
      </c>
      <c r="C377" t="s">
        <v>14</v>
      </c>
      <c r="D377" t="s">
        <v>34</v>
      </c>
      <c r="E377" s="4">
        <v>3407.09</v>
      </c>
      <c r="F377">
        <v>39</v>
      </c>
      <c r="G377" t="s">
        <v>29</v>
      </c>
      <c r="H377" s="4">
        <v>4929.7299999999996</v>
      </c>
      <c r="I377" s="4">
        <v>5088.0199999999904</v>
      </c>
      <c r="J377" t="s">
        <v>30</v>
      </c>
      <c r="K377" s="2">
        <v>0.23</v>
      </c>
      <c r="L377" t="s">
        <v>27</v>
      </c>
      <c r="M377" t="s">
        <v>22</v>
      </c>
      <c r="N377" t="s">
        <v>46</v>
      </c>
      <c r="O377" s="5">
        <f t="shared" si="5"/>
        <v>6173.3099999996439</v>
      </c>
    </row>
    <row r="378" spans="1:15" x14ac:dyDescent="0.35">
      <c r="A378">
        <v>1093</v>
      </c>
      <c r="B378" s="1">
        <v>45045</v>
      </c>
      <c r="C378" t="s">
        <v>42</v>
      </c>
      <c r="D378" t="s">
        <v>15</v>
      </c>
      <c r="E378" s="4">
        <v>7353.72</v>
      </c>
      <c r="F378">
        <v>34</v>
      </c>
      <c r="G378" t="s">
        <v>26</v>
      </c>
      <c r="H378" s="4">
        <v>4201.1099999999997</v>
      </c>
      <c r="I378" s="4">
        <v>4436.5</v>
      </c>
      <c r="J378" t="s">
        <v>30</v>
      </c>
      <c r="K378" s="2">
        <v>0.05</v>
      </c>
      <c r="L378" t="s">
        <v>18</v>
      </c>
      <c r="M378" t="s">
        <v>19</v>
      </c>
      <c r="N378" t="s">
        <v>49</v>
      </c>
      <c r="O378" s="5">
        <f t="shared" si="5"/>
        <v>8003.2600000000111</v>
      </c>
    </row>
    <row r="379" spans="1:15" x14ac:dyDescent="0.35">
      <c r="A379">
        <v>1046</v>
      </c>
      <c r="B379" s="1">
        <v>44946</v>
      </c>
      <c r="C379" t="s">
        <v>38</v>
      </c>
      <c r="D379" t="s">
        <v>34</v>
      </c>
      <c r="E379" s="4">
        <v>4104.82</v>
      </c>
      <c r="F379">
        <v>43</v>
      </c>
      <c r="G379" t="s">
        <v>29</v>
      </c>
      <c r="H379" s="4">
        <v>4052.42</v>
      </c>
      <c r="I379" s="4">
        <v>4199.3</v>
      </c>
      <c r="J379" t="s">
        <v>30</v>
      </c>
      <c r="K379" s="2">
        <v>0.1</v>
      </c>
      <c r="L379" t="s">
        <v>27</v>
      </c>
      <c r="M379" t="s">
        <v>22</v>
      </c>
      <c r="N379" t="s">
        <v>48</v>
      </c>
      <c r="O379" s="5">
        <f t="shared" si="5"/>
        <v>6315.8400000000047</v>
      </c>
    </row>
    <row r="380" spans="1:15" x14ac:dyDescent="0.35">
      <c r="A380">
        <v>1006</v>
      </c>
      <c r="B380" s="1">
        <v>45187</v>
      </c>
      <c r="C380" t="s">
        <v>24</v>
      </c>
      <c r="D380" t="s">
        <v>21</v>
      </c>
      <c r="E380" s="4">
        <v>776.7</v>
      </c>
      <c r="F380">
        <v>45</v>
      </c>
      <c r="G380" t="s">
        <v>16</v>
      </c>
      <c r="H380" s="4">
        <v>1623.63</v>
      </c>
      <c r="I380" s="4">
        <v>1814.63</v>
      </c>
      <c r="J380" t="s">
        <v>30</v>
      </c>
      <c r="K380" s="2">
        <v>0.28999999999999998</v>
      </c>
      <c r="L380" t="s">
        <v>27</v>
      </c>
      <c r="M380" t="s">
        <v>22</v>
      </c>
      <c r="N380" t="s">
        <v>47</v>
      </c>
      <c r="O380" s="5">
        <f t="shared" si="5"/>
        <v>8595</v>
      </c>
    </row>
    <row r="381" spans="1:15" x14ac:dyDescent="0.35">
      <c r="A381">
        <v>1099</v>
      </c>
      <c r="B381" s="1">
        <v>45219</v>
      </c>
      <c r="C381" t="s">
        <v>24</v>
      </c>
      <c r="D381" t="s">
        <v>25</v>
      </c>
      <c r="E381" s="4">
        <v>7859.22</v>
      </c>
      <c r="F381">
        <v>23</v>
      </c>
      <c r="G381" t="s">
        <v>29</v>
      </c>
      <c r="H381" s="4">
        <v>93.45</v>
      </c>
      <c r="I381" s="4">
        <v>181.62</v>
      </c>
      <c r="J381" t="s">
        <v>17</v>
      </c>
      <c r="K381" s="2">
        <v>0.3</v>
      </c>
      <c r="L381" t="s">
        <v>27</v>
      </c>
      <c r="M381" t="s">
        <v>22</v>
      </c>
      <c r="N381" t="s">
        <v>28</v>
      </c>
      <c r="O381" s="5">
        <f t="shared" si="5"/>
        <v>2027.91</v>
      </c>
    </row>
    <row r="382" spans="1:15" x14ac:dyDescent="0.35">
      <c r="A382">
        <v>1037</v>
      </c>
      <c r="B382" s="1">
        <v>45182</v>
      </c>
      <c r="C382" t="s">
        <v>14</v>
      </c>
      <c r="D382" t="s">
        <v>25</v>
      </c>
      <c r="E382" s="4">
        <v>2929.01</v>
      </c>
      <c r="F382">
        <v>5</v>
      </c>
      <c r="G382" t="s">
        <v>16</v>
      </c>
      <c r="H382" s="4">
        <v>1941.56</v>
      </c>
      <c r="I382" s="4">
        <v>2385.48</v>
      </c>
      <c r="J382" t="s">
        <v>17</v>
      </c>
      <c r="K382" s="2">
        <v>0.15</v>
      </c>
      <c r="L382" t="s">
        <v>31</v>
      </c>
      <c r="M382" t="s">
        <v>19</v>
      </c>
      <c r="N382" t="s">
        <v>32</v>
      </c>
      <c r="O382" s="5">
        <f t="shared" si="5"/>
        <v>2219.6000000000004</v>
      </c>
    </row>
    <row r="383" spans="1:15" x14ac:dyDescent="0.35">
      <c r="A383">
        <v>1024</v>
      </c>
      <c r="B383" s="1">
        <v>45148</v>
      </c>
      <c r="C383" t="s">
        <v>38</v>
      </c>
      <c r="D383" t="s">
        <v>25</v>
      </c>
      <c r="E383" s="4">
        <v>4384.3900000000003</v>
      </c>
      <c r="F383">
        <v>30</v>
      </c>
      <c r="G383" t="s">
        <v>26</v>
      </c>
      <c r="H383" s="4">
        <v>1543.96</v>
      </c>
      <c r="I383" s="4">
        <v>1558.87</v>
      </c>
      <c r="J383" t="s">
        <v>17</v>
      </c>
      <c r="K383" s="2">
        <v>0.28000000000000003</v>
      </c>
      <c r="L383" t="s">
        <v>31</v>
      </c>
      <c r="M383" t="s">
        <v>19</v>
      </c>
      <c r="N383" t="s">
        <v>39</v>
      </c>
      <c r="O383" s="5">
        <f t="shared" si="5"/>
        <v>447.29999999999563</v>
      </c>
    </row>
    <row r="384" spans="1:15" x14ac:dyDescent="0.35">
      <c r="A384">
        <v>1093</v>
      </c>
      <c r="B384" s="1">
        <v>45152</v>
      </c>
      <c r="C384" t="s">
        <v>24</v>
      </c>
      <c r="D384" t="s">
        <v>21</v>
      </c>
      <c r="E384" s="4">
        <v>6885.89</v>
      </c>
      <c r="F384">
        <v>6</v>
      </c>
      <c r="G384" t="s">
        <v>26</v>
      </c>
      <c r="H384" s="4">
        <v>235.12</v>
      </c>
      <c r="I384" s="4">
        <v>677.5</v>
      </c>
      <c r="J384" t="s">
        <v>17</v>
      </c>
      <c r="K384" s="2">
        <v>0.16</v>
      </c>
      <c r="L384" t="s">
        <v>31</v>
      </c>
      <c r="M384" t="s">
        <v>19</v>
      </c>
      <c r="N384" t="s">
        <v>47</v>
      </c>
      <c r="O384" s="5">
        <f t="shared" si="5"/>
        <v>2654.2799999999997</v>
      </c>
    </row>
    <row r="385" spans="1:15" x14ac:dyDescent="0.35">
      <c r="A385">
        <v>1046</v>
      </c>
      <c r="B385" s="1">
        <v>44979</v>
      </c>
      <c r="C385" t="s">
        <v>42</v>
      </c>
      <c r="D385" t="s">
        <v>25</v>
      </c>
      <c r="E385" s="4">
        <v>3391.32</v>
      </c>
      <c r="F385">
        <v>46</v>
      </c>
      <c r="G385" t="s">
        <v>29</v>
      </c>
      <c r="H385" s="4">
        <v>2551.56</v>
      </c>
      <c r="I385" s="4">
        <v>2841.68</v>
      </c>
      <c r="J385" t="s">
        <v>30</v>
      </c>
      <c r="K385" s="2">
        <v>0.09</v>
      </c>
      <c r="L385" t="s">
        <v>27</v>
      </c>
      <c r="M385" t="s">
        <v>22</v>
      </c>
      <c r="N385" t="s">
        <v>43</v>
      </c>
      <c r="O385" s="5">
        <f t="shared" si="5"/>
        <v>13345.519999999995</v>
      </c>
    </row>
    <row r="386" spans="1:15" x14ac:dyDescent="0.35">
      <c r="A386">
        <v>1053</v>
      </c>
      <c r="B386" s="1">
        <v>45281</v>
      </c>
      <c r="C386" t="s">
        <v>14</v>
      </c>
      <c r="D386" t="s">
        <v>15</v>
      </c>
      <c r="E386" s="4">
        <v>660.2</v>
      </c>
      <c r="F386">
        <v>44</v>
      </c>
      <c r="G386" t="s">
        <v>16</v>
      </c>
      <c r="H386" s="4">
        <v>2045</v>
      </c>
      <c r="I386" s="4">
        <v>2217.5100000000002</v>
      </c>
      <c r="J386" t="s">
        <v>17</v>
      </c>
      <c r="K386" s="2">
        <v>0.08</v>
      </c>
      <c r="L386" t="s">
        <v>31</v>
      </c>
      <c r="M386" t="s">
        <v>19</v>
      </c>
      <c r="N386" t="s">
        <v>20</v>
      </c>
      <c r="O386" s="5">
        <f t="shared" ref="O386:O449" si="6">(I386-H386)*F386</f>
        <v>7590.4400000000096</v>
      </c>
    </row>
    <row r="387" spans="1:15" x14ac:dyDescent="0.35">
      <c r="A387">
        <v>1095</v>
      </c>
      <c r="B387" s="1">
        <v>45268</v>
      </c>
      <c r="C387" t="s">
        <v>38</v>
      </c>
      <c r="D387" t="s">
        <v>34</v>
      </c>
      <c r="E387" s="4">
        <v>3801.82</v>
      </c>
      <c r="F387">
        <v>4</v>
      </c>
      <c r="G387" t="s">
        <v>29</v>
      </c>
      <c r="H387" s="4">
        <v>3191.05</v>
      </c>
      <c r="I387" s="4">
        <v>3555.35</v>
      </c>
      <c r="J387" t="s">
        <v>30</v>
      </c>
      <c r="K387" s="2">
        <v>0.28000000000000003</v>
      </c>
      <c r="L387" t="s">
        <v>31</v>
      </c>
      <c r="M387" t="s">
        <v>19</v>
      </c>
      <c r="N387" t="s">
        <v>48</v>
      </c>
      <c r="O387" s="5">
        <f t="shared" si="6"/>
        <v>1457.1999999999989</v>
      </c>
    </row>
    <row r="388" spans="1:15" x14ac:dyDescent="0.35">
      <c r="A388">
        <v>1099</v>
      </c>
      <c r="B388" s="1">
        <v>45290</v>
      </c>
      <c r="C388" t="s">
        <v>14</v>
      </c>
      <c r="D388" t="s">
        <v>21</v>
      </c>
      <c r="E388" s="4">
        <v>9450.0400000000009</v>
      </c>
      <c r="F388">
        <v>29</v>
      </c>
      <c r="G388" t="s">
        <v>35</v>
      </c>
      <c r="H388" s="4">
        <v>3124.87</v>
      </c>
      <c r="I388" s="4">
        <v>3383.67</v>
      </c>
      <c r="J388" t="s">
        <v>30</v>
      </c>
      <c r="K388" s="2">
        <v>0.05</v>
      </c>
      <c r="L388" t="s">
        <v>31</v>
      </c>
      <c r="M388" t="s">
        <v>22</v>
      </c>
      <c r="N388" t="s">
        <v>23</v>
      </c>
      <c r="O388" s="5">
        <f t="shared" si="6"/>
        <v>7505.2000000000053</v>
      </c>
    </row>
    <row r="389" spans="1:15" x14ac:dyDescent="0.35">
      <c r="A389">
        <v>1060</v>
      </c>
      <c r="B389" s="1">
        <v>45206</v>
      </c>
      <c r="C389" t="s">
        <v>42</v>
      </c>
      <c r="D389" t="s">
        <v>25</v>
      </c>
      <c r="E389" s="4">
        <v>6453.17</v>
      </c>
      <c r="F389">
        <v>23</v>
      </c>
      <c r="G389" t="s">
        <v>35</v>
      </c>
      <c r="H389" s="4">
        <v>647.70000000000005</v>
      </c>
      <c r="I389" s="4">
        <v>902.26</v>
      </c>
      <c r="J389" t="s">
        <v>30</v>
      </c>
      <c r="K389" s="2">
        <v>0.17</v>
      </c>
      <c r="L389" t="s">
        <v>27</v>
      </c>
      <c r="M389" t="s">
        <v>19</v>
      </c>
      <c r="N389" t="s">
        <v>43</v>
      </c>
      <c r="O389" s="5">
        <f t="shared" si="6"/>
        <v>5854.8799999999992</v>
      </c>
    </row>
    <row r="390" spans="1:15" x14ac:dyDescent="0.35">
      <c r="A390">
        <v>1097</v>
      </c>
      <c r="B390" s="1">
        <v>45007</v>
      </c>
      <c r="C390" t="s">
        <v>38</v>
      </c>
      <c r="D390" t="s">
        <v>15</v>
      </c>
      <c r="E390" s="4">
        <v>6747.64</v>
      </c>
      <c r="F390">
        <v>6</v>
      </c>
      <c r="G390" t="s">
        <v>35</v>
      </c>
      <c r="H390" s="4">
        <v>4885.9799999999996</v>
      </c>
      <c r="I390" s="4">
        <v>4949.95</v>
      </c>
      <c r="J390" t="s">
        <v>17</v>
      </c>
      <c r="K390" s="2">
        <v>0.17</v>
      </c>
      <c r="L390" t="s">
        <v>27</v>
      </c>
      <c r="M390" t="s">
        <v>19</v>
      </c>
      <c r="N390" t="s">
        <v>40</v>
      </c>
      <c r="O390" s="5">
        <f t="shared" si="6"/>
        <v>383.82000000000153</v>
      </c>
    </row>
    <row r="391" spans="1:15" x14ac:dyDescent="0.35">
      <c r="A391">
        <v>1063</v>
      </c>
      <c r="B391" s="1">
        <v>45128</v>
      </c>
      <c r="C391" t="s">
        <v>14</v>
      </c>
      <c r="D391" t="s">
        <v>34</v>
      </c>
      <c r="E391" s="4">
        <v>6359.59</v>
      </c>
      <c r="F391">
        <v>32</v>
      </c>
      <c r="G391" t="s">
        <v>35</v>
      </c>
      <c r="H391" s="4">
        <v>975.31</v>
      </c>
      <c r="I391" s="4">
        <v>1176.17</v>
      </c>
      <c r="J391" t="s">
        <v>30</v>
      </c>
      <c r="K391" s="2">
        <v>0.22</v>
      </c>
      <c r="L391" t="s">
        <v>27</v>
      </c>
      <c r="M391" t="s">
        <v>22</v>
      </c>
      <c r="N391" t="s">
        <v>46</v>
      </c>
      <c r="O391" s="5">
        <f t="shared" si="6"/>
        <v>6427.5200000000041</v>
      </c>
    </row>
    <row r="392" spans="1:15" x14ac:dyDescent="0.35">
      <c r="A392">
        <v>1085</v>
      </c>
      <c r="B392" s="1">
        <v>45084</v>
      </c>
      <c r="C392" t="s">
        <v>33</v>
      </c>
      <c r="D392" t="s">
        <v>34</v>
      </c>
      <c r="E392" s="4">
        <v>2070.02</v>
      </c>
      <c r="F392">
        <v>42</v>
      </c>
      <c r="G392" t="s">
        <v>29</v>
      </c>
      <c r="H392" s="4">
        <v>2254.11</v>
      </c>
      <c r="I392" s="4">
        <v>2382.23</v>
      </c>
      <c r="J392" t="s">
        <v>17</v>
      </c>
      <c r="K392" s="2">
        <v>0.15</v>
      </c>
      <c r="L392" t="s">
        <v>31</v>
      </c>
      <c r="M392" t="s">
        <v>22</v>
      </c>
      <c r="N392" t="s">
        <v>36</v>
      </c>
      <c r="O392" s="5">
        <f t="shared" si="6"/>
        <v>5381.0399999999954</v>
      </c>
    </row>
    <row r="393" spans="1:15" x14ac:dyDescent="0.35">
      <c r="A393">
        <v>1032</v>
      </c>
      <c r="B393" s="1">
        <v>45046</v>
      </c>
      <c r="C393" t="s">
        <v>42</v>
      </c>
      <c r="D393" t="s">
        <v>21</v>
      </c>
      <c r="E393" s="4">
        <v>4241.51</v>
      </c>
      <c r="F393">
        <v>18</v>
      </c>
      <c r="G393" t="s">
        <v>35</v>
      </c>
      <c r="H393" s="4">
        <v>2466.1799999999998</v>
      </c>
      <c r="I393" s="4">
        <v>2483.87</v>
      </c>
      <c r="J393" t="s">
        <v>17</v>
      </c>
      <c r="K393" s="2">
        <v>0.08</v>
      </c>
      <c r="L393" t="s">
        <v>18</v>
      </c>
      <c r="M393" t="s">
        <v>19</v>
      </c>
      <c r="N393" t="s">
        <v>51</v>
      </c>
      <c r="O393" s="5">
        <f t="shared" si="6"/>
        <v>318.42000000000098</v>
      </c>
    </row>
    <row r="394" spans="1:15" x14ac:dyDescent="0.35">
      <c r="A394">
        <v>1087</v>
      </c>
      <c r="B394" s="1">
        <v>44985</v>
      </c>
      <c r="C394" t="s">
        <v>42</v>
      </c>
      <c r="D394" t="s">
        <v>21</v>
      </c>
      <c r="E394" s="4">
        <v>7534.3</v>
      </c>
      <c r="F394">
        <v>15</v>
      </c>
      <c r="G394" t="s">
        <v>16</v>
      </c>
      <c r="H394" s="4">
        <v>4074.66</v>
      </c>
      <c r="I394" s="4">
        <v>4261.1099999999997</v>
      </c>
      <c r="J394" t="s">
        <v>17</v>
      </c>
      <c r="K394" s="2">
        <v>0.05</v>
      </c>
      <c r="L394" t="s">
        <v>31</v>
      </c>
      <c r="M394" t="s">
        <v>22</v>
      </c>
      <c r="N394" t="s">
        <v>51</v>
      </c>
      <c r="O394" s="5">
        <f t="shared" si="6"/>
        <v>2796.7499999999973</v>
      </c>
    </row>
    <row r="395" spans="1:15" x14ac:dyDescent="0.35">
      <c r="A395">
        <v>1033</v>
      </c>
      <c r="B395" s="1">
        <v>45141</v>
      </c>
      <c r="C395" t="s">
        <v>42</v>
      </c>
      <c r="D395" t="s">
        <v>21</v>
      </c>
      <c r="E395" s="4">
        <v>1103.5899999999999</v>
      </c>
      <c r="F395">
        <v>40</v>
      </c>
      <c r="G395" t="s">
        <v>26</v>
      </c>
      <c r="H395" s="4">
        <v>541.19000000000005</v>
      </c>
      <c r="I395" s="4">
        <v>595.20000000000005</v>
      </c>
      <c r="J395" t="s">
        <v>17</v>
      </c>
      <c r="K395" s="2">
        <v>0.19</v>
      </c>
      <c r="L395" t="s">
        <v>31</v>
      </c>
      <c r="M395" t="s">
        <v>19</v>
      </c>
      <c r="N395" t="s">
        <v>51</v>
      </c>
      <c r="O395" s="5">
        <f t="shared" si="6"/>
        <v>2160.3999999999996</v>
      </c>
    </row>
    <row r="396" spans="1:15" x14ac:dyDescent="0.35">
      <c r="A396">
        <v>1067</v>
      </c>
      <c r="B396" s="1">
        <v>45054</v>
      </c>
      <c r="C396" t="s">
        <v>33</v>
      </c>
      <c r="D396" t="s">
        <v>15</v>
      </c>
      <c r="E396" s="4">
        <v>2850.74</v>
      </c>
      <c r="F396">
        <v>32</v>
      </c>
      <c r="G396" t="s">
        <v>26</v>
      </c>
      <c r="H396" s="4">
        <v>2171.79</v>
      </c>
      <c r="I396" s="4">
        <v>2307.64</v>
      </c>
      <c r="J396" t="s">
        <v>17</v>
      </c>
      <c r="K396" s="2">
        <v>0.22</v>
      </c>
      <c r="L396" t="s">
        <v>27</v>
      </c>
      <c r="M396" t="s">
        <v>19</v>
      </c>
      <c r="N396" t="s">
        <v>53</v>
      </c>
      <c r="O396" s="5">
        <f t="shared" si="6"/>
        <v>4347.1999999999971</v>
      </c>
    </row>
    <row r="397" spans="1:15" x14ac:dyDescent="0.35">
      <c r="A397">
        <v>1018</v>
      </c>
      <c r="B397" s="1">
        <v>45150</v>
      </c>
      <c r="C397" t="s">
        <v>33</v>
      </c>
      <c r="D397" t="s">
        <v>15</v>
      </c>
      <c r="E397" s="4">
        <v>2835.56</v>
      </c>
      <c r="F397">
        <v>9</v>
      </c>
      <c r="G397" t="s">
        <v>35</v>
      </c>
      <c r="H397" s="4">
        <v>3161.09</v>
      </c>
      <c r="I397" s="4">
        <v>3216.42</v>
      </c>
      <c r="J397" t="s">
        <v>30</v>
      </c>
      <c r="K397" s="2">
        <v>0.17</v>
      </c>
      <c r="L397" t="s">
        <v>27</v>
      </c>
      <c r="M397" t="s">
        <v>19</v>
      </c>
      <c r="N397" t="s">
        <v>53</v>
      </c>
      <c r="O397" s="5">
        <f t="shared" si="6"/>
        <v>497.96999999999935</v>
      </c>
    </row>
    <row r="398" spans="1:15" x14ac:dyDescent="0.35">
      <c r="A398">
        <v>1025</v>
      </c>
      <c r="B398" s="1">
        <v>45135</v>
      </c>
      <c r="C398" t="s">
        <v>24</v>
      </c>
      <c r="D398" t="s">
        <v>21</v>
      </c>
      <c r="E398" s="4">
        <v>4376.99</v>
      </c>
      <c r="F398">
        <v>37</v>
      </c>
      <c r="G398" t="s">
        <v>35</v>
      </c>
      <c r="H398" s="4">
        <v>1115.02</v>
      </c>
      <c r="I398" s="4">
        <v>1174.48</v>
      </c>
      <c r="J398" t="s">
        <v>30</v>
      </c>
      <c r="K398" s="2">
        <v>0.22</v>
      </c>
      <c r="L398" t="s">
        <v>31</v>
      </c>
      <c r="M398" t="s">
        <v>19</v>
      </c>
      <c r="N398" t="s">
        <v>47</v>
      </c>
      <c r="O398" s="5">
        <f t="shared" si="6"/>
        <v>2200.0200000000013</v>
      </c>
    </row>
    <row r="399" spans="1:15" x14ac:dyDescent="0.35">
      <c r="A399">
        <v>1095</v>
      </c>
      <c r="B399" s="1">
        <v>45041</v>
      </c>
      <c r="C399" t="s">
        <v>14</v>
      </c>
      <c r="D399" t="s">
        <v>25</v>
      </c>
      <c r="E399" s="4">
        <v>9805.65</v>
      </c>
      <c r="F399">
        <v>10</v>
      </c>
      <c r="G399" t="s">
        <v>35</v>
      </c>
      <c r="H399" s="4">
        <v>3155.97</v>
      </c>
      <c r="I399" s="4">
        <v>3263.49</v>
      </c>
      <c r="J399" t="s">
        <v>17</v>
      </c>
      <c r="K399" s="2">
        <v>0.04</v>
      </c>
      <c r="L399" t="s">
        <v>31</v>
      </c>
      <c r="M399" t="s">
        <v>19</v>
      </c>
      <c r="N399" t="s">
        <v>32</v>
      </c>
      <c r="O399" s="5">
        <f t="shared" si="6"/>
        <v>1075.1999999999998</v>
      </c>
    </row>
    <row r="400" spans="1:15" x14ac:dyDescent="0.35">
      <c r="A400">
        <v>1054</v>
      </c>
      <c r="B400" s="1">
        <v>45135</v>
      </c>
      <c r="C400" t="s">
        <v>24</v>
      </c>
      <c r="D400" t="s">
        <v>34</v>
      </c>
      <c r="E400" s="4">
        <v>768.28</v>
      </c>
      <c r="F400">
        <v>20</v>
      </c>
      <c r="G400" t="s">
        <v>29</v>
      </c>
      <c r="H400" s="4">
        <v>4622.1400000000003</v>
      </c>
      <c r="I400" s="4">
        <v>5122.07</v>
      </c>
      <c r="J400" t="s">
        <v>30</v>
      </c>
      <c r="K400" s="2">
        <v>0.26</v>
      </c>
      <c r="L400" t="s">
        <v>18</v>
      </c>
      <c r="M400" t="s">
        <v>22</v>
      </c>
      <c r="N400" t="s">
        <v>50</v>
      </c>
      <c r="O400" s="5">
        <f t="shared" si="6"/>
        <v>9998.5999999999876</v>
      </c>
    </row>
    <row r="401" spans="1:15" x14ac:dyDescent="0.35">
      <c r="A401">
        <v>1058</v>
      </c>
      <c r="B401" s="1">
        <v>44940</v>
      </c>
      <c r="C401" t="s">
        <v>14</v>
      </c>
      <c r="D401" t="s">
        <v>34</v>
      </c>
      <c r="E401" s="4">
        <v>5235.1400000000003</v>
      </c>
      <c r="F401">
        <v>6</v>
      </c>
      <c r="G401" t="s">
        <v>26</v>
      </c>
      <c r="H401" s="4">
        <v>4987.71</v>
      </c>
      <c r="I401" s="4">
        <v>4998.78</v>
      </c>
      <c r="J401" t="s">
        <v>17</v>
      </c>
      <c r="K401" s="2">
        <v>0.17</v>
      </c>
      <c r="L401" t="s">
        <v>18</v>
      </c>
      <c r="M401" t="s">
        <v>22</v>
      </c>
      <c r="N401" t="s">
        <v>46</v>
      </c>
      <c r="O401" s="5">
        <f t="shared" si="6"/>
        <v>66.419999999998254</v>
      </c>
    </row>
    <row r="402" spans="1:15" x14ac:dyDescent="0.35">
      <c r="A402">
        <v>1067</v>
      </c>
      <c r="B402" s="1">
        <v>44935</v>
      </c>
      <c r="C402" t="s">
        <v>33</v>
      </c>
      <c r="D402" t="s">
        <v>15</v>
      </c>
      <c r="E402" s="4">
        <v>1875.71</v>
      </c>
      <c r="F402">
        <v>48</v>
      </c>
      <c r="G402" t="s">
        <v>35</v>
      </c>
      <c r="H402" s="4">
        <v>210.63</v>
      </c>
      <c r="I402" s="4">
        <v>533.57999999999902</v>
      </c>
      <c r="J402" t="s">
        <v>30</v>
      </c>
      <c r="K402" s="2">
        <v>0.04</v>
      </c>
      <c r="L402" t="s">
        <v>27</v>
      </c>
      <c r="M402" t="s">
        <v>19</v>
      </c>
      <c r="N402" t="s">
        <v>53</v>
      </c>
      <c r="O402" s="5">
        <f t="shared" si="6"/>
        <v>15501.599999999953</v>
      </c>
    </row>
    <row r="403" spans="1:15" x14ac:dyDescent="0.35">
      <c r="A403">
        <v>1046</v>
      </c>
      <c r="B403" s="1">
        <v>44966</v>
      </c>
      <c r="C403" t="s">
        <v>33</v>
      </c>
      <c r="D403" t="s">
        <v>34</v>
      </c>
      <c r="E403" s="4">
        <v>9709.7000000000007</v>
      </c>
      <c r="F403">
        <v>3</v>
      </c>
      <c r="G403" t="s">
        <v>16</v>
      </c>
      <c r="H403" s="4">
        <v>1216.1600000000001</v>
      </c>
      <c r="I403" s="4">
        <v>1295.3699999999999</v>
      </c>
      <c r="J403" t="s">
        <v>30</v>
      </c>
      <c r="K403" s="2">
        <v>0.14000000000000001</v>
      </c>
      <c r="L403" t="s">
        <v>18</v>
      </c>
      <c r="M403" t="s">
        <v>22</v>
      </c>
      <c r="N403" t="s">
        <v>36</v>
      </c>
      <c r="O403" s="5">
        <f t="shared" si="6"/>
        <v>237.62999999999943</v>
      </c>
    </row>
    <row r="404" spans="1:15" x14ac:dyDescent="0.35">
      <c r="A404">
        <v>1024</v>
      </c>
      <c r="B404" s="1">
        <v>45163</v>
      </c>
      <c r="C404" t="s">
        <v>24</v>
      </c>
      <c r="D404" t="s">
        <v>25</v>
      </c>
      <c r="E404" s="4">
        <v>1221.7</v>
      </c>
      <c r="F404">
        <v>42</v>
      </c>
      <c r="G404" t="s">
        <v>35</v>
      </c>
      <c r="H404" s="4">
        <v>1586.02</v>
      </c>
      <c r="I404" s="4">
        <v>2047.13</v>
      </c>
      <c r="J404" t="s">
        <v>30</v>
      </c>
      <c r="K404" s="2">
        <v>0.25</v>
      </c>
      <c r="L404" t="s">
        <v>18</v>
      </c>
      <c r="M404" t="s">
        <v>22</v>
      </c>
      <c r="N404" t="s">
        <v>28</v>
      </c>
      <c r="O404" s="5">
        <f t="shared" si="6"/>
        <v>19366.620000000006</v>
      </c>
    </row>
    <row r="405" spans="1:15" x14ac:dyDescent="0.35">
      <c r="A405">
        <v>1032</v>
      </c>
      <c r="B405" s="1">
        <v>45207</v>
      </c>
      <c r="C405" t="s">
        <v>38</v>
      </c>
      <c r="D405" t="s">
        <v>34</v>
      </c>
      <c r="E405" s="4">
        <v>4095.65</v>
      </c>
      <c r="F405">
        <v>11</v>
      </c>
      <c r="G405" t="s">
        <v>26</v>
      </c>
      <c r="H405" s="4">
        <v>2025.67</v>
      </c>
      <c r="I405" s="4">
        <v>2081.5500000000002</v>
      </c>
      <c r="J405" t="s">
        <v>30</v>
      </c>
      <c r="K405" s="2">
        <v>0.27</v>
      </c>
      <c r="L405" t="s">
        <v>27</v>
      </c>
      <c r="M405" t="s">
        <v>19</v>
      </c>
      <c r="N405" t="s">
        <v>48</v>
      </c>
      <c r="O405" s="5">
        <f t="shared" si="6"/>
        <v>614.6800000000012</v>
      </c>
    </row>
    <row r="406" spans="1:15" x14ac:dyDescent="0.35">
      <c r="A406">
        <v>1047</v>
      </c>
      <c r="B406" s="1">
        <v>45285</v>
      </c>
      <c r="C406" t="s">
        <v>24</v>
      </c>
      <c r="D406" t="s">
        <v>15</v>
      </c>
      <c r="E406" s="4">
        <v>7405.06</v>
      </c>
      <c r="F406">
        <v>43</v>
      </c>
      <c r="G406" t="s">
        <v>35</v>
      </c>
      <c r="H406" s="4">
        <v>1249.17</v>
      </c>
      <c r="I406" s="4">
        <v>1727.15</v>
      </c>
      <c r="J406" t="s">
        <v>30</v>
      </c>
      <c r="K406" s="2">
        <v>0.08</v>
      </c>
      <c r="L406" t="s">
        <v>18</v>
      </c>
      <c r="M406" t="s">
        <v>22</v>
      </c>
      <c r="N406" t="s">
        <v>45</v>
      </c>
      <c r="O406" s="5">
        <f t="shared" si="6"/>
        <v>20553.14</v>
      </c>
    </row>
    <row r="407" spans="1:15" x14ac:dyDescent="0.35">
      <c r="A407">
        <v>1086</v>
      </c>
      <c r="B407" s="1">
        <v>45127</v>
      </c>
      <c r="C407" t="s">
        <v>14</v>
      </c>
      <c r="D407" t="s">
        <v>15</v>
      </c>
      <c r="E407" s="4">
        <v>7075.09</v>
      </c>
      <c r="F407">
        <v>17</v>
      </c>
      <c r="G407" t="s">
        <v>26</v>
      </c>
      <c r="H407" s="4">
        <v>1057.27</v>
      </c>
      <c r="I407" s="4">
        <v>1366.62</v>
      </c>
      <c r="J407" t="s">
        <v>30</v>
      </c>
      <c r="K407" s="2">
        <v>0.21</v>
      </c>
      <c r="L407" t="s">
        <v>31</v>
      </c>
      <c r="M407" t="s">
        <v>22</v>
      </c>
      <c r="N407" t="s">
        <v>20</v>
      </c>
      <c r="O407" s="5">
        <f t="shared" si="6"/>
        <v>5258.9499999999989</v>
      </c>
    </row>
    <row r="408" spans="1:15" x14ac:dyDescent="0.35">
      <c r="A408">
        <v>1023</v>
      </c>
      <c r="B408" s="1">
        <v>45172</v>
      </c>
      <c r="C408" t="s">
        <v>24</v>
      </c>
      <c r="D408" t="s">
        <v>25</v>
      </c>
      <c r="E408" s="4">
        <v>4285.01</v>
      </c>
      <c r="F408">
        <v>32</v>
      </c>
      <c r="G408" t="s">
        <v>35</v>
      </c>
      <c r="H408" s="4">
        <v>4775.04</v>
      </c>
      <c r="I408" s="4">
        <v>4785.66</v>
      </c>
      <c r="J408" t="s">
        <v>30</v>
      </c>
      <c r="K408" s="2">
        <v>0.03</v>
      </c>
      <c r="L408" t="s">
        <v>18</v>
      </c>
      <c r="M408" t="s">
        <v>19</v>
      </c>
      <c r="N408" t="s">
        <v>28</v>
      </c>
      <c r="O408" s="5">
        <f t="shared" si="6"/>
        <v>339.83999999999651</v>
      </c>
    </row>
    <row r="409" spans="1:15" x14ac:dyDescent="0.35">
      <c r="A409">
        <v>1066</v>
      </c>
      <c r="B409" s="1">
        <v>45204</v>
      </c>
      <c r="C409" t="s">
        <v>42</v>
      </c>
      <c r="D409" t="s">
        <v>25</v>
      </c>
      <c r="E409" s="4">
        <v>3530.59</v>
      </c>
      <c r="F409">
        <v>4</v>
      </c>
      <c r="G409" t="s">
        <v>16</v>
      </c>
      <c r="H409" s="4">
        <v>4596.68</v>
      </c>
      <c r="I409" s="4">
        <v>5044.74</v>
      </c>
      <c r="J409" t="s">
        <v>30</v>
      </c>
      <c r="K409" s="2">
        <v>0.01</v>
      </c>
      <c r="L409" t="s">
        <v>27</v>
      </c>
      <c r="M409" t="s">
        <v>19</v>
      </c>
      <c r="N409" t="s">
        <v>43</v>
      </c>
      <c r="O409" s="5">
        <f t="shared" si="6"/>
        <v>1792.239999999998</v>
      </c>
    </row>
    <row r="410" spans="1:15" x14ac:dyDescent="0.35">
      <c r="A410">
        <v>1027</v>
      </c>
      <c r="B410" s="1">
        <v>45161</v>
      </c>
      <c r="C410" t="s">
        <v>14</v>
      </c>
      <c r="D410" t="s">
        <v>34</v>
      </c>
      <c r="E410" s="4">
        <v>4036.36</v>
      </c>
      <c r="F410">
        <v>4</v>
      </c>
      <c r="G410" t="s">
        <v>35</v>
      </c>
      <c r="H410" s="4">
        <v>282.61</v>
      </c>
      <c r="I410" s="4">
        <v>548.25</v>
      </c>
      <c r="J410" t="s">
        <v>30</v>
      </c>
      <c r="K410" s="2">
        <v>0.17</v>
      </c>
      <c r="L410" t="s">
        <v>31</v>
      </c>
      <c r="M410" t="s">
        <v>19</v>
      </c>
      <c r="N410" t="s">
        <v>46</v>
      </c>
      <c r="O410" s="5">
        <f t="shared" si="6"/>
        <v>1062.56</v>
      </c>
    </row>
    <row r="411" spans="1:15" x14ac:dyDescent="0.35">
      <c r="A411">
        <v>1002</v>
      </c>
      <c r="B411" s="1">
        <v>44930</v>
      </c>
      <c r="C411" t="s">
        <v>14</v>
      </c>
      <c r="D411" t="s">
        <v>34</v>
      </c>
      <c r="E411" s="4">
        <v>2716.34</v>
      </c>
      <c r="F411">
        <v>17</v>
      </c>
      <c r="G411" t="s">
        <v>16</v>
      </c>
      <c r="H411" s="4">
        <v>1727.12</v>
      </c>
      <c r="I411" s="4">
        <v>1865.83</v>
      </c>
      <c r="J411" t="s">
        <v>30</v>
      </c>
      <c r="K411" s="2">
        <v>0.21</v>
      </c>
      <c r="L411" t="s">
        <v>18</v>
      </c>
      <c r="M411" t="s">
        <v>19</v>
      </c>
      <c r="N411" t="s">
        <v>46</v>
      </c>
      <c r="O411" s="5">
        <f t="shared" si="6"/>
        <v>2358.0700000000006</v>
      </c>
    </row>
    <row r="412" spans="1:15" x14ac:dyDescent="0.35">
      <c r="A412">
        <v>1090</v>
      </c>
      <c r="B412" s="1">
        <v>45080</v>
      </c>
      <c r="C412" t="s">
        <v>38</v>
      </c>
      <c r="D412" t="s">
        <v>15</v>
      </c>
      <c r="E412" s="4">
        <v>2132.8000000000002</v>
      </c>
      <c r="F412">
        <v>41</v>
      </c>
      <c r="G412" t="s">
        <v>16</v>
      </c>
      <c r="H412" s="4">
        <v>2055.4899999999998</v>
      </c>
      <c r="I412" s="4">
        <v>2441.46</v>
      </c>
      <c r="J412" t="s">
        <v>30</v>
      </c>
      <c r="K412" s="2">
        <v>0.24</v>
      </c>
      <c r="L412" t="s">
        <v>31</v>
      </c>
      <c r="M412" t="s">
        <v>19</v>
      </c>
      <c r="N412" t="s">
        <v>40</v>
      </c>
      <c r="O412" s="5">
        <f t="shared" si="6"/>
        <v>15824.770000000011</v>
      </c>
    </row>
    <row r="413" spans="1:15" x14ac:dyDescent="0.35">
      <c r="A413">
        <v>1017</v>
      </c>
      <c r="B413" s="1">
        <v>44955</v>
      </c>
      <c r="C413" t="s">
        <v>33</v>
      </c>
      <c r="D413" t="s">
        <v>25</v>
      </c>
      <c r="E413" s="4">
        <v>4882.09</v>
      </c>
      <c r="F413">
        <v>19</v>
      </c>
      <c r="G413" t="s">
        <v>35</v>
      </c>
      <c r="H413" s="4">
        <v>1233.1199999999999</v>
      </c>
      <c r="I413" s="4">
        <v>1697.1899999999901</v>
      </c>
      <c r="J413" t="s">
        <v>30</v>
      </c>
      <c r="K413" s="2">
        <v>0.1</v>
      </c>
      <c r="L413" t="s">
        <v>31</v>
      </c>
      <c r="M413" t="s">
        <v>19</v>
      </c>
      <c r="N413" t="s">
        <v>44</v>
      </c>
      <c r="O413" s="5">
        <f t="shared" si="6"/>
        <v>8817.3299999998126</v>
      </c>
    </row>
    <row r="414" spans="1:15" x14ac:dyDescent="0.35">
      <c r="A414">
        <v>1033</v>
      </c>
      <c r="B414" s="1">
        <v>45035</v>
      </c>
      <c r="C414" t="s">
        <v>14</v>
      </c>
      <c r="D414" t="s">
        <v>25</v>
      </c>
      <c r="E414" s="4">
        <v>2758.48</v>
      </c>
      <c r="F414">
        <v>5</v>
      </c>
      <c r="G414" t="s">
        <v>16</v>
      </c>
      <c r="H414" s="4">
        <v>3162.92</v>
      </c>
      <c r="I414" s="4">
        <v>3409.93</v>
      </c>
      <c r="J414" t="s">
        <v>30</v>
      </c>
      <c r="K414" s="2">
        <v>0</v>
      </c>
      <c r="L414" t="s">
        <v>18</v>
      </c>
      <c r="M414" t="s">
        <v>19</v>
      </c>
      <c r="N414" t="s">
        <v>32</v>
      </c>
      <c r="O414" s="5">
        <f t="shared" si="6"/>
        <v>1235.0499999999988</v>
      </c>
    </row>
    <row r="415" spans="1:15" x14ac:dyDescent="0.35">
      <c r="A415">
        <v>1009</v>
      </c>
      <c r="B415" s="1">
        <v>45024</v>
      </c>
      <c r="C415" t="s">
        <v>33</v>
      </c>
      <c r="D415" t="s">
        <v>25</v>
      </c>
      <c r="E415" s="4">
        <v>2945.87</v>
      </c>
      <c r="F415">
        <v>32</v>
      </c>
      <c r="G415" t="s">
        <v>29</v>
      </c>
      <c r="H415" s="4">
        <v>3219.88</v>
      </c>
      <c r="I415" s="4">
        <v>3384.5</v>
      </c>
      <c r="J415" t="s">
        <v>17</v>
      </c>
      <c r="K415" s="2">
        <v>0.14000000000000001</v>
      </c>
      <c r="L415" t="s">
        <v>18</v>
      </c>
      <c r="M415" t="s">
        <v>22</v>
      </c>
      <c r="N415" t="s">
        <v>44</v>
      </c>
      <c r="O415" s="5">
        <f t="shared" si="6"/>
        <v>5267.8399999999965</v>
      </c>
    </row>
    <row r="416" spans="1:15" x14ac:dyDescent="0.35">
      <c r="A416">
        <v>1043</v>
      </c>
      <c r="B416" s="1">
        <v>45141</v>
      </c>
      <c r="C416" t="s">
        <v>24</v>
      </c>
      <c r="D416" t="s">
        <v>34</v>
      </c>
      <c r="E416" s="4">
        <v>6601.89</v>
      </c>
      <c r="F416">
        <v>22</v>
      </c>
      <c r="G416" t="s">
        <v>35</v>
      </c>
      <c r="H416" s="4">
        <v>4260</v>
      </c>
      <c r="I416" s="4">
        <v>4656.58</v>
      </c>
      <c r="J416" t="s">
        <v>30</v>
      </c>
      <c r="K416" s="2">
        <v>0</v>
      </c>
      <c r="L416" t="s">
        <v>27</v>
      </c>
      <c r="M416" t="s">
        <v>19</v>
      </c>
      <c r="N416" t="s">
        <v>50</v>
      </c>
      <c r="O416" s="5">
        <f t="shared" si="6"/>
        <v>8724.7599999999984</v>
      </c>
    </row>
    <row r="417" spans="1:15" x14ac:dyDescent="0.35">
      <c r="A417">
        <v>1048</v>
      </c>
      <c r="B417" s="1">
        <v>45219</v>
      </c>
      <c r="C417" t="s">
        <v>42</v>
      </c>
      <c r="D417" t="s">
        <v>25</v>
      </c>
      <c r="E417" s="4">
        <v>9688.52</v>
      </c>
      <c r="F417">
        <v>6</v>
      </c>
      <c r="G417" t="s">
        <v>35</v>
      </c>
      <c r="H417" s="4">
        <v>3717.3</v>
      </c>
      <c r="I417" s="4">
        <v>4061.37</v>
      </c>
      <c r="J417" t="s">
        <v>30</v>
      </c>
      <c r="K417" s="2">
        <v>0.03</v>
      </c>
      <c r="L417" t="s">
        <v>27</v>
      </c>
      <c r="M417" t="s">
        <v>22</v>
      </c>
      <c r="N417" t="s">
        <v>43</v>
      </c>
      <c r="O417" s="5">
        <f t="shared" si="6"/>
        <v>2064.4199999999983</v>
      </c>
    </row>
    <row r="418" spans="1:15" x14ac:dyDescent="0.35">
      <c r="A418">
        <v>1039</v>
      </c>
      <c r="B418" s="1">
        <v>45001</v>
      </c>
      <c r="C418" t="s">
        <v>38</v>
      </c>
      <c r="D418" t="s">
        <v>15</v>
      </c>
      <c r="E418" s="4">
        <v>6076.01</v>
      </c>
      <c r="F418">
        <v>35</v>
      </c>
      <c r="G418" t="s">
        <v>16</v>
      </c>
      <c r="H418" s="4">
        <v>2735.74</v>
      </c>
      <c r="I418" s="4">
        <v>3181.22999999999</v>
      </c>
      <c r="J418" t="s">
        <v>30</v>
      </c>
      <c r="K418" s="2">
        <v>0.1</v>
      </c>
      <c r="L418" t="s">
        <v>31</v>
      </c>
      <c r="M418" t="s">
        <v>22</v>
      </c>
      <c r="N418" t="s">
        <v>40</v>
      </c>
      <c r="O418" s="5">
        <f t="shared" si="6"/>
        <v>15592.149999999658</v>
      </c>
    </row>
    <row r="419" spans="1:15" x14ac:dyDescent="0.35">
      <c r="A419">
        <v>1093</v>
      </c>
      <c r="B419" s="1">
        <v>45252</v>
      </c>
      <c r="C419" t="s">
        <v>33</v>
      </c>
      <c r="D419" t="s">
        <v>15</v>
      </c>
      <c r="E419" s="4">
        <v>862.1</v>
      </c>
      <c r="F419">
        <v>22</v>
      </c>
      <c r="G419" t="s">
        <v>16</v>
      </c>
      <c r="H419" s="4">
        <v>3285.25</v>
      </c>
      <c r="I419" s="4">
        <v>3634.58</v>
      </c>
      <c r="J419" t="s">
        <v>30</v>
      </c>
      <c r="K419" s="2">
        <v>0.13</v>
      </c>
      <c r="L419" t="s">
        <v>27</v>
      </c>
      <c r="M419" t="s">
        <v>19</v>
      </c>
      <c r="N419" t="s">
        <v>53</v>
      </c>
      <c r="O419" s="5">
        <f t="shared" si="6"/>
        <v>7685.2599999999984</v>
      </c>
    </row>
    <row r="420" spans="1:15" x14ac:dyDescent="0.35">
      <c r="A420">
        <v>1042</v>
      </c>
      <c r="B420" s="1">
        <v>45072</v>
      </c>
      <c r="C420" t="s">
        <v>14</v>
      </c>
      <c r="D420" t="s">
        <v>34</v>
      </c>
      <c r="E420" s="4">
        <v>848.28</v>
      </c>
      <c r="F420">
        <v>1</v>
      </c>
      <c r="G420" t="s">
        <v>35</v>
      </c>
      <c r="H420" s="4">
        <v>1406.24</v>
      </c>
      <c r="I420" s="4">
        <v>1535.57</v>
      </c>
      <c r="J420" t="s">
        <v>30</v>
      </c>
      <c r="K420" s="2">
        <v>0.08</v>
      </c>
      <c r="L420" t="s">
        <v>31</v>
      </c>
      <c r="M420" t="s">
        <v>22</v>
      </c>
      <c r="N420" t="s">
        <v>46</v>
      </c>
      <c r="O420" s="5">
        <f t="shared" si="6"/>
        <v>129.32999999999993</v>
      </c>
    </row>
    <row r="421" spans="1:15" x14ac:dyDescent="0.35">
      <c r="A421">
        <v>1026</v>
      </c>
      <c r="B421" s="1">
        <v>45054</v>
      </c>
      <c r="C421" t="s">
        <v>33</v>
      </c>
      <c r="D421" t="s">
        <v>21</v>
      </c>
      <c r="E421" s="4">
        <v>9519.09</v>
      </c>
      <c r="F421">
        <v>20</v>
      </c>
      <c r="G421" t="s">
        <v>29</v>
      </c>
      <c r="H421" s="4">
        <v>2985.63</v>
      </c>
      <c r="I421" s="4">
        <v>3452.14</v>
      </c>
      <c r="J421" t="s">
        <v>30</v>
      </c>
      <c r="K421" s="2">
        <v>0.17</v>
      </c>
      <c r="L421" t="s">
        <v>31</v>
      </c>
      <c r="M421" t="s">
        <v>22</v>
      </c>
      <c r="N421" t="s">
        <v>37</v>
      </c>
      <c r="O421" s="5">
        <f t="shared" si="6"/>
        <v>9330.1999999999953</v>
      </c>
    </row>
    <row r="422" spans="1:15" x14ac:dyDescent="0.35">
      <c r="A422">
        <v>1099</v>
      </c>
      <c r="B422" s="1">
        <v>45267</v>
      </c>
      <c r="C422" t="s">
        <v>14</v>
      </c>
      <c r="D422" t="s">
        <v>34</v>
      </c>
      <c r="E422" s="4">
        <v>3043.18</v>
      </c>
      <c r="F422">
        <v>22</v>
      </c>
      <c r="G422" t="s">
        <v>16</v>
      </c>
      <c r="H422" s="4">
        <v>2471.67</v>
      </c>
      <c r="I422" s="4">
        <v>2533.04</v>
      </c>
      <c r="J422" t="s">
        <v>17</v>
      </c>
      <c r="K422" s="2">
        <v>0.02</v>
      </c>
      <c r="L422" t="s">
        <v>27</v>
      </c>
      <c r="M422" t="s">
        <v>22</v>
      </c>
      <c r="N422" t="s">
        <v>46</v>
      </c>
      <c r="O422" s="5">
        <f t="shared" si="6"/>
        <v>1350.1399999999976</v>
      </c>
    </row>
    <row r="423" spans="1:15" x14ac:dyDescent="0.35">
      <c r="A423">
        <v>1050</v>
      </c>
      <c r="B423" s="1">
        <v>44968</v>
      </c>
      <c r="C423" t="s">
        <v>33</v>
      </c>
      <c r="D423" t="s">
        <v>21</v>
      </c>
      <c r="E423" s="4">
        <v>1011.46</v>
      </c>
      <c r="F423">
        <v>48</v>
      </c>
      <c r="G423" t="s">
        <v>16</v>
      </c>
      <c r="H423" s="4">
        <v>710.06</v>
      </c>
      <c r="I423" s="4">
        <v>851.349999999999</v>
      </c>
      <c r="J423" t="s">
        <v>17</v>
      </c>
      <c r="K423" s="2">
        <v>0.04</v>
      </c>
      <c r="L423" t="s">
        <v>27</v>
      </c>
      <c r="M423" t="s">
        <v>19</v>
      </c>
      <c r="N423" t="s">
        <v>37</v>
      </c>
      <c r="O423" s="5">
        <f t="shared" si="6"/>
        <v>6781.9199999999546</v>
      </c>
    </row>
    <row r="424" spans="1:15" x14ac:dyDescent="0.35">
      <c r="A424">
        <v>1025</v>
      </c>
      <c r="B424" s="1">
        <v>45282</v>
      </c>
      <c r="C424" t="s">
        <v>14</v>
      </c>
      <c r="D424" t="s">
        <v>25</v>
      </c>
      <c r="E424" s="4">
        <v>6030.54</v>
      </c>
      <c r="F424">
        <v>11</v>
      </c>
      <c r="G424" t="s">
        <v>26</v>
      </c>
      <c r="H424" s="4">
        <v>1250.5899999999999</v>
      </c>
      <c r="I424" s="4">
        <v>1515.48999999999</v>
      </c>
      <c r="J424" t="s">
        <v>17</v>
      </c>
      <c r="K424" s="2">
        <v>0.21</v>
      </c>
      <c r="L424" t="s">
        <v>27</v>
      </c>
      <c r="M424" t="s">
        <v>22</v>
      </c>
      <c r="N424" t="s">
        <v>32</v>
      </c>
      <c r="O424" s="5">
        <f t="shared" si="6"/>
        <v>2913.899999999891</v>
      </c>
    </row>
    <row r="425" spans="1:15" x14ac:dyDescent="0.35">
      <c r="A425">
        <v>1024</v>
      </c>
      <c r="B425" s="1">
        <v>44967</v>
      </c>
      <c r="C425" t="s">
        <v>24</v>
      </c>
      <c r="D425" t="s">
        <v>34</v>
      </c>
      <c r="E425" s="4">
        <v>6274.12</v>
      </c>
      <c r="F425">
        <v>13</v>
      </c>
      <c r="G425" t="s">
        <v>29</v>
      </c>
      <c r="H425" s="4">
        <v>1493.88</v>
      </c>
      <c r="I425" s="4">
        <v>1781.09</v>
      </c>
      <c r="J425" t="s">
        <v>30</v>
      </c>
      <c r="K425" s="2">
        <v>0.04</v>
      </c>
      <c r="L425" t="s">
        <v>18</v>
      </c>
      <c r="M425" t="s">
        <v>22</v>
      </c>
      <c r="N425" t="s">
        <v>50</v>
      </c>
      <c r="O425" s="5">
        <f t="shared" si="6"/>
        <v>3733.7299999999977</v>
      </c>
    </row>
    <row r="426" spans="1:15" x14ac:dyDescent="0.35">
      <c r="A426">
        <v>1013</v>
      </c>
      <c r="B426" s="1">
        <v>44960</v>
      </c>
      <c r="C426" t="s">
        <v>14</v>
      </c>
      <c r="D426" t="s">
        <v>15</v>
      </c>
      <c r="E426" s="4">
        <v>6520.2</v>
      </c>
      <c r="F426">
        <v>42</v>
      </c>
      <c r="G426" t="s">
        <v>29</v>
      </c>
      <c r="H426" s="4">
        <v>4625.33</v>
      </c>
      <c r="I426" s="4">
        <v>4642.83</v>
      </c>
      <c r="J426" t="s">
        <v>30</v>
      </c>
      <c r="K426" s="2">
        <v>0.19</v>
      </c>
      <c r="L426" t="s">
        <v>31</v>
      </c>
      <c r="M426" t="s">
        <v>19</v>
      </c>
      <c r="N426" t="s">
        <v>20</v>
      </c>
      <c r="O426" s="5">
        <f t="shared" si="6"/>
        <v>735</v>
      </c>
    </row>
    <row r="427" spans="1:15" x14ac:dyDescent="0.35">
      <c r="A427">
        <v>1060</v>
      </c>
      <c r="B427" s="1">
        <v>44943</v>
      </c>
      <c r="C427" t="s">
        <v>14</v>
      </c>
      <c r="D427" t="s">
        <v>25</v>
      </c>
      <c r="E427" s="4">
        <v>2747.28</v>
      </c>
      <c r="F427">
        <v>3</v>
      </c>
      <c r="G427" t="s">
        <v>35</v>
      </c>
      <c r="H427" s="4">
        <v>1190.4100000000001</v>
      </c>
      <c r="I427" s="4">
        <v>1582.89</v>
      </c>
      <c r="J427" t="s">
        <v>30</v>
      </c>
      <c r="K427" s="2">
        <v>0.02</v>
      </c>
      <c r="L427" t="s">
        <v>31</v>
      </c>
      <c r="M427" t="s">
        <v>22</v>
      </c>
      <c r="N427" t="s">
        <v>32</v>
      </c>
      <c r="O427" s="5">
        <f t="shared" si="6"/>
        <v>1177.44</v>
      </c>
    </row>
    <row r="428" spans="1:15" x14ac:dyDescent="0.35">
      <c r="A428">
        <v>1007</v>
      </c>
      <c r="B428" s="1">
        <v>45091</v>
      </c>
      <c r="C428" t="s">
        <v>42</v>
      </c>
      <c r="D428" t="s">
        <v>15</v>
      </c>
      <c r="E428" s="4">
        <v>249.6</v>
      </c>
      <c r="F428">
        <v>9</v>
      </c>
      <c r="G428" t="s">
        <v>29</v>
      </c>
      <c r="H428" s="4">
        <v>1481.76</v>
      </c>
      <c r="I428" s="4">
        <v>1668.95</v>
      </c>
      <c r="J428" t="s">
        <v>17</v>
      </c>
      <c r="K428" s="2">
        <v>0.12</v>
      </c>
      <c r="L428" t="s">
        <v>31</v>
      </c>
      <c r="M428" t="s">
        <v>22</v>
      </c>
      <c r="N428" t="s">
        <v>49</v>
      </c>
      <c r="O428" s="5">
        <f t="shared" si="6"/>
        <v>1684.7100000000005</v>
      </c>
    </row>
    <row r="429" spans="1:15" x14ac:dyDescent="0.35">
      <c r="A429">
        <v>1057</v>
      </c>
      <c r="B429" s="1">
        <v>45079</v>
      </c>
      <c r="C429" t="s">
        <v>14</v>
      </c>
      <c r="D429" t="s">
        <v>25</v>
      </c>
      <c r="E429" s="4">
        <v>9653.65</v>
      </c>
      <c r="F429">
        <v>12</v>
      </c>
      <c r="G429" t="s">
        <v>35</v>
      </c>
      <c r="H429" s="4">
        <v>1878.3</v>
      </c>
      <c r="I429" s="4">
        <v>2087.4499999999998</v>
      </c>
      <c r="J429" t="s">
        <v>30</v>
      </c>
      <c r="K429" s="2">
        <v>0.05</v>
      </c>
      <c r="L429" t="s">
        <v>27</v>
      </c>
      <c r="M429" t="s">
        <v>22</v>
      </c>
      <c r="N429" t="s">
        <v>32</v>
      </c>
      <c r="O429" s="5">
        <f t="shared" si="6"/>
        <v>2509.7999999999984</v>
      </c>
    </row>
    <row r="430" spans="1:15" x14ac:dyDescent="0.35">
      <c r="A430">
        <v>1036</v>
      </c>
      <c r="B430" s="1">
        <v>45002</v>
      </c>
      <c r="C430" t="s">
        <v>42</v>
      </c>
      <c r="D430" t="s">
        <v>34</v>
      </c>
      <c r="E430" s="4">
        <v>2583.84</v>
      </c>
      <c r="F430">
        <v>23</v>
      </c>
      <c r="G430" t="s">
        <v>26</v>
      </c>
      <c r="H430" s="4">
        <v>3335.53</v>
      </c>
      <c r="I430" s="4">
        <v>3742.12</v>
      </c>
      <c r="J430" t="s">
        <v>30</v>
      </c>
      <c r="K430" s="2">
        <v>0.03</v>
      </c>
      <c r="L430" t="s">
        <v>27</v>
      </c>
      <c r="M430" t="s">
        <v>22</v>
      </c>
      <c r="N430" t="s">
        <v>52</v>
      </c>
      <c r="O430" s="5">
        <f t="shared" si="6"/>
        <v>9351.5699999999924</v>
      </c>
    </row>
    <row r="431" spans="1:15" x14ac:dyDescent="0.35">
      <c r="A431">
        <v>1045</v>
      </c>
      <c r="B431" s="1">
        <v>45013</v>
      </c>
      <c r="C431" t="s">
        <v>38</v>
      </c>
      <c r="D431" t="s">
        <v>21</v>
      </c>
      <c r="E431" s="4">
        <v>6792.66</v>
      </c>
      <c r="F431">
        <v>14</v>
      </c>
      <c r="G431" t="s">
        <v>29</v>
      </c>
      <c r="H431" s="4">
        <v>635.28</v>
      </c>
      <c r="I431" s="4">
        <v>831.13</v>
      </c>
      <c r="J431" t="s">
        <v>17</v>
      </c>
      <c r="K431" s="2">
        <v>0.17</v>
      </c>
      <c r="L431" t="s">
        <v>27</v>
      </c>
      <c r="M431" t="s">
        <v>22</v>
      </c>
      <c r="N431" t="s">
        <v>41</v>
      </c>
      <c r="O431" s="5">
        <f t="shared" si="6"/>
        <v>2741.9000000000005</v>
      </c>
    </row>
    <row r="432" spans="1:15" x14ac:dyDescent="0.35">
      <c r="A432">
        <v>1020</v>
      </c>
      <c r="B432" s="1">
        <v>45043</v>
      </c>
      <c r="C432" t="s">
        <v>42</v>
      </c>
      <c r="D432" t="s">
        <v>25</v>
      </c>
      <c r="E432" s="4">
        <v>7095.64</v>
      </c>
      <c r="F432">
        <v>33</v>
      </c>
      <c r="G432" t="s">
        <v>16</v>
      </c>
      <c r="H432" s="4">
        <v>4772.03</v>
      </c>
      <c r="I432" s="4">
        <v>4805.17</v>
      </c>
      <c r="J432" t="s">
        <v>17</v>
      </c>
      <c r="K432" s="2">
        <v>0.28000000000000003</v>
      </c>
      <c r="L432" t="s">
        <v>27</v>
      </c>
      <c r="M432" t="s">
        <v>19</v>
      </c>
      <c r="N432" t="s">
        <v>43</v>
      </c>
      <c r="O432" s="5">
        <f t="shared" si="6"/>
        <v>1093.6200000000108</v>
      </c>
    </row>
    <row r="433" spans="1:15" x14ac:dyDescent="0.35">
      <c r="A433">
        <v>1065</v>
      </c>
      <c r="B433" s="1">
        <v>45288</v>
      </c>
      <c r="C433" t="s">
        <v>24</v>
      </c>
      <c r="D433" t="s">
        <v>21</v>
      </c>
      <c r="E433" s="4">
        <v>6139.07</v>
      </c>
      <c r="F433">
        <v>18</v>
      </c>
      <c r="G433" t="s">
        <v>26</v>
      </c>
      <c r="H433" s="4">
        <v>4334.58</v>
      </c>
      <c r="I433" s="4">
        <v>4431.04</v>
      </c>
      <c r="J433" t="s">
        <v>30</v>
      </c>
      <c r="K433" s="2">
        <v>0.02</v>
      </c>
      <c r="L433" t="s">
        <v>27</v>
      </c>
      <c r="M433" t="s">
        <v>22</v>
      </c>
      <c r="N433" t="s">
        <v>47</v>
      </c>
      <c r="O433" s="5">
        <f t="shared" si="6"/>
        <v>1736.2800000000007</v>
      </c>
    </row>
    <row r="434" spans="1:15" x14ac:dyDescent="0.35">
      <c r="A434">
        <v>1008</v>
      </c>
      <c r="B434" s="1">
        <v>45268</v>
      </c>
      <c r="C434" t="s">
        <v>42</v>
      </c>
      <c r="D434" t="s">
        <v>25</v>
      </c>
      <c r="E434" s="4">
        <v>3197.78</v>
      </c>
      <c r="F434">
        <v>49</v>
      </c>
      <c r="G434" t="s">
        <v>35</v>
      </c>
      <c r="H434" s="4">
        <v>2907.22</v>
      </c>
      <c r="I434" s="4">
        <v>3385.6099999999901</v>
      </c>
      <c r="J434" t="s">
        <v>30</v>
      </c>
      <c r="K434" s="2">
        <v>0.13</v>
      </c>
      <c r="L434" t="s">
        <v>18</v>
      </c>
      <c r="M434" t="s">
        <v>19</v>
      </c>
      <c r="N434" t="s">
        <v>43</v>
      </c>
      <c r="O434" s="5">
        <f t="shared" si="6"/>
        <v>23441.109999999528</v>
      </c>
    </row>
    <row r="435" spans="1:15" x14ac:dyDescent="0.35">
      <c r="A435">
        <v>1016</v>
      </c>
      <c r="B435" s="1">
        <v>44953</v>
      </c>
      <c r="C435" t="s">
        <v>38</v>
      </c>
      <c r="D435" t="s">
        <v>15</v>
      </c>
      <c r="E435" s="4">
        <v>2783.85</v>
      </c>
      <c r="F435">
        <v>41</v>
      </c>
      <c r="G435" t="s">
        <v>26</v>
      </c>
      <c r="H435" s="4">
        <v>3386.49</v>
      </c>
      <c r="I435" s="4">
        <v>3430.99</v>
      </c>
      <c r="J435" t="s">
        <v>30</v>
      </c>
      <c r="K435" s="2">
        <v>0.21</v>
      </c>
      <c r="L435" t="s">
        <v>27</v>
      </c>
      <c r="M435" t="s">
        <v>22</v>
      </c>
      <c r="N435" t="s">
        <v>40</v>
      </c>
      <c r="O435" s="5">
        <f t="shared" si="6"/>
        <v>1824.5</v>
      </c>
    </row>
    <row r="436" spans="1:15" x14ac:dyDescent="0.35">
      <c r="A436">
        <v>1014</v>
      </c>
      <c r="B436" s="1">
        <v>45239</v>
      </c>
      <c r="C436" t="s">
        <v>24</v>
      </c>
      <c r="D436" t="s">
        <v>15</v>
      </c>
      <c r="E436" s="4">
        <v>6016.92</v>
      </c>
      <c r="F436">
        <v>9</v>
      </c>
      <c r="G436" t="s">
        <v>35</v>
      </c>
      <c r="H436" s="4">
        <v>132.47</v>
      </c>
      <c r="I436" s="4">
        <v>316.39</v>
      </c>
      <c r="J436" t="s">
        <v>30</v>
      </c>
      <c r="K436" s="2">
        <v>0.14000000000000001</v>
      </c>
      <c r="L436" t="s">
        <v>31</v>
      </c>
      <c r="M436" t="s">
        <v>19</v>
      </c>
      <c r="N436" t="s">
        <v>45</v>
      </c>
      <c r="O436" s="5">
        <f t="shared" si="6"/>
        <v>1655.28</v>
      </c>
    </row>
    <row r="437" spans="1:15" x14ac:dyDescent="0.35">
      <c r="A437">
        <v>1076</v>
      </c>
      <c r="B437" s="1">
        <v>45213</v>
      </c>
      <c r="C437" t="s">
        <v>33</v>
      </c>
      <c r="D437" t="s">
        <v>25</v>
      </c>
      <c r="E437" s="4">
        <v>8674.35</v>
      </c>
      <c r="F437">
        <v>23</v>
      </c>
      <c r="G437" t="s">
        <v>26</v>
      </c>
      <c r="H437" s="4">
        <v>1727.78</v>
      </c>
      <c r="I437" s="4">
        <v>1984.34</v>
      </c>
      <c r="J437" t="s">
        <v>17</v>
      </c>
      <c r="K437" s="2">
        <v>0.24</v>
      </c>
      <c r="L437" t="s">
        <v>27</v>
      </c>
      <c r="M437" t="s">
        <v>19</v>
      </c>
      <c r="N437" t="s">
        <v>44</v>
      </c>
      <c r="O437" s="5">
        <f t="shared" si="6"/>
        <v>5900.8799999999992</v>
      </c>
    </row>
    <row r="438" spans="1:15" x14ac:dyDescent="0.35">
      <c r="A438">
        <v>1087</v>
      </c>
      <c r="B438" s="1">
        <v>45060</v>
      </c>
      <c r="C438" t="s">
        <v>33</v>
      </c>
      <c r="D438" t="s">
        <v>21</v>
      </c>
      <c r="E438" s="4">
        <v>9472.66</v>
      </c>
      <c r="F438">
        <v>10</v>
      </c>
      <c r="G438" t="s">
        <v>35</v>
      </c>
      <c r="H438" s="4">
        <v>3988.52</v>
      </c>
      <c r="I438" s="4">
        <v>4240.2299999999996</v>
      </c>
      <c r="J438" t="s">
        <v>30</v>
      </c>
      <c r="K438" s="2">
        <v>0.05</v>
      </c>
      <c r="L438" t="s">
        <v>31</v>
      </c>
      <c r="M438" t="s">
        <v>19</v>
      </c>
      <c r="N438" t="s">
        <v>37</v>
      </c>
      <c r="O438" s="5">
        <f t="shared" si="6"/>
        <v>2517.0999999999958</v>
      </c>
    </row>
    <row r="439" spans="1:15" x14ac:dyDescent="0.35">
      <c r="A439">
        <v>1015</v>
      </c>
      <c r="B439" s="1">
        <v>45145</v>
      </c>
      <c r="C439" t="s">
        <v>42</v>
      </c>
      <c r="D439" t="s">
        <v>34</v>
      </c>
      <c r="E439" s="4">
        <v>1148.47</v>
      </c>
      <c r="F439">
        <v>19</v>
      </c>
      <c r="G439" t="s">
        <v>29</v>
      </c>
      <c r="H439" s="4">
        <v>433.54</v>
      </c>
      <c r="I439" s="4">
        <v>445.48</v>
      </c>
      <c r="J439" t="s">
        <v>30</v>
      </c>
      <c r="K439" s="2">
        <v>0.28999999999999998</v>
      </c>
      <c r="L439" t="s">
        <v>27</v>
      </c>
      <c r="M439" t="s">
        <v>22</v>
      </c>
      <c r="N439" t="s">
        <v>52</v>
      </c>
      <c r="O439" s="5">
        <f t="shared" si="6"/>
        <v>226.85999999999996</v>
      </c>
    </row>
    <row r="440" spans="1:15" x14ac:dyDescent="0.35">
      <c r="A440">
        <v>1098</v>
      </c>
      <c r="B440" s="1">
        <v>45024</v>
      </c>
      <c r="C440" t="s">
        <v>38</v>
      </c>
      <c r="D440" t="s">
        <v>15</v>
      </c>
      <c r="E440" s="4">
        <v>9452.89</v>
      </c>
      <c r="F440">
        <v>5</v>
      </c>
      <c r="G440" t="s">
        <v>35</v>
      </c>
      <c r="H440" s="4">
        <v>2947.22</v>
      </c>
      <c r="I440" s="4">
        <v>3145.27</v>
      </c>
      <c r="J440" t="s">
        <v>30</v>
      </c>
      <c r="K440" s="2">
        <v>0.1</v>
      </c>
      <c r="L440" t="s">
        <v>31</v>
      </c>
      <c r="M440" t="s">
        <v>22</v>
      </c>
      <c r="N440" t="s">
        <v>40</v>
      </c>
      <c r="O440" s="5">
        <f t="shared" si="6"/>
        <v>990.25000000000091</v>
      </c>
    </row>
    <row r="441" spans="1:15" x14ac:dyDescent="0.35">
      <c r="A441">
        <v>1066</v>
      </c>
      <c r="B441" s="1">
        <v>45194</v>
      </c>
      <c r="C441" t="s">
        <v>38</v>
      </c>
      <c r="D441" t="s">
        <v>34</v>
      </c>
      <c r="E441" s="4">
        <v>7391.7</v>
      </c>
      <c r="F441">
        <v>47</v>
      </c>
      <c r="G441" t="s">
        <v>26</v>
      </c>
      <c r="H441" s="4">
        <v>1319.24</v>
      </c>
      <c r="I441" s="4">
        <v>1805.56</v>
      </c>
      <c r="J441" t="s">
        <v>30</v>
      </c>
      <c r="K441" s="2">
        <v>0.26</v>
      </c>
      <c r="L441" t="s">
        <v>31</v>
      </c>
      <c r="M441" t="s">
        <v>22</v>
      </c>
      <c r="N441" t="s">
        <v>48</v>
      </c>
      <c r="O441" s="5">
        <f t="shared" si="6"/>
        <v>22857.039999999997</v>
      </c>
    </row>
    <row r="442" spans="1:15" x14ac:dyDescent="0.35">
      <c r="A442">
        <v>1032</v>
      </c>
      <c r="B442" s="1">
        <v>45163</v>
      </c>
      <c r="C442" t="s">
        <v>14</v>
      </c>
      <c r="D442" t="s">
        <v>15</v>
      </c>
      <c r="E442" s="4">
        <v>8841.64</v>
      </c>
      <c r="F442">
        <v>23</v>
      </c>
      <c r="G442" t="s">
        <v>35</v>
      </c>
      <c r="H442" s="4">
        <v>4673.1899999999996</v>
      </c>
      <c r="I442" s="4">
        <v>4761.1799999999903</v>
      </c>
      <c r="J442" t="s">
        <v>17</v>
      </c>
      <c r="K442" s="2">
        <v>0.17</v>
      </c>
      <c r="L442" t="s">
        <v>31</v>
      </c>
      <c r="M442" t="s">
        <v>22</v>
      </c>
      <c r="N442" t="s">
        <v>20</v>
      </c>
      <c r="O442" s="5">
        <f t="shared" si="6"/>
        <v>2023.7699999997858</v>
      </c>
    </row>
    <row r="443" spans="1:15" x14ac:dyDescent="0.35">
      <c r="A443">
        <v>1087</v>
      </c>
      <c r="B443" s="1">
        <v>45235</v>
      </c>
      <c r="C443" t="s">
        <v>38</v>
      </c>
      <c r="D443" t="s">
        <v>34</v>
      </c>
      <c r="E443" s="4">
        <v>2106.06</v>
      </c>
      <c r="F443">
        <v>30</v>
      </c>
      <c r="G443" t="s">
        <v>35</v>
      </c>
      <c r="H443" s="4">
        <v>698.74</v>
      </c>
      <c r="I443" s="4">
        <v>882.28</v>
      </c>
      <c r="J443" t="s">
        <v>17</v>
      </c>
      <c r="K443" s="2">
        <v>0.15</v>
      </c>
      <c r="L443" t="s">
        <v>31</v>
      </c>
      <c r="M443" t="s">
        <v>19</v>
      </c>
      <c r="N443" t="s">
        <v>48</v>
      </c>
      <c r="O443" s="5">
        <f t="shared" si="6"/>
        <v>5506.1999999999989</v>
      </c>
    </row>
    <row r="444" spans="1:15" x14ac:dyDescent="0.35">
      <c r="A444">
        <v>1063</v>
      </c>
      <c r="B444" s="1">
        <v>45099</v>
      </c>
      <c r="C444" t="s">
        <v>14</v>
      </c>
      <c r="D444" t="s">
        <v>25</v>
      </c>
      <c r="E444" s="4">
        <v>5917.1</v>
      </c>
      <c r="F444">
        <v>25</v>
      </c>
      <c r="G444" t="s">
        <v>35</v>
      </c>
      <c r="H444" s="4">
        <v>3997.1</v>
      </c>
      <c r="I444" s="4">
        <v>4212.6499999999996</v>
      </c>
      <c r="J444" t="s">
        <v>30</v>
      </c>
      <c r="K444" s="2">
        <v>0.22</v>
      </c>
      <c r="L444" t="s">
        <v>18</v>
      </c>
      <c r="M444" t="s">
        <v>19</v>
      </c>
      <c r="N444" t="s">
        <v>32</v>
      </c>
      <c r="O444" s="5">
        <f t="shared" si="6"/>
        <v>5388.7499999999927</v>
      </c>
    </row>
    <row r="445" spans="1:15" x14ac:dyDescent="0.35">
      <c r="A445">
        <v>1086</v>
      </c>
      <c r="B445" s="1">
        <v>45116</v>
      </c>
      <c r="C445" t="s">
        <v>24</v>
      </c>
      <c r="D445" t="s">
        <v>15</v>
      </c>
      <c r="E445" s="4">
        <v>7041.28</v>
      </c>
      <c r="F445">
        <v>28</v>
      </c>
      <c r="G445" t="s">
        <v>26</v>
      </c>
      <c r="H445" s="4">
        <v>2564.35</v>
      </c>
      <c r="I445" s="4">
        <v>2765.79</v>
      </c>
      <c r="J445" t="s">
        <v>17</v>
      </c>
      <c r="K445" s="2">
        <v>0.17</v>
      </c>
      <c r="L445" t="s">
        <v>31</v>
      </c>
      <c r="M445" t="s">
        <v>19</v>
      </c>
      <c r="N445" t="s">
        <v>45</v>
      </c>
      <c r="O445" s="5">
        <f t="shared" si="6"/>
        <v>5640.3200000000015</v>
      </c>
    </row>
    <row r="446" spans="1:15" x14ac:dyDescent="0.35">
      <c r="A446">
        <v>1051</v>
      </c>
      <c r="B446" s="1">
        <v>45048</v>
      </c>
      <c r="C446" t="s">
        <v>42</v>
      </c>
      <c r="D446" t="s">
        <v>15</v>
      </c>
      <c r="E446" s="4">
        <v>6833.11</v>
      </c>
      <c r="F446">
        <v>34</v>
      </c>
      <c r="G446" t="s">
        <v>16</v>
      </c>
      <c r="H446" s="4">
        <v>3764.14</v>
      </c>
      <c r="I446" s="4">
        <v>4100.3999999999996</v>
      </c>
      <c r="J446" t="s">
        <v>17</v>
      </c>
      <c r="K446" s="2">
        <v>0.05</v>
      </c>
      <c r="L446" t="s">
        <v>27</v>
      </c>
      <c r="M446" t="s">
        <v>22</v>
      </c>
      <c r="N446" t="s">
        <v>49</v>
      </c>
      <c r="O446" s="5">
        <f t="shared" si="6"/>
        <v>11432.839999999993</v>
      </c>
    </row>
    <row r="447" spans="1:15" x14ac:dyDescent="0.35">
      <c r="A447">
        <v>1025</v>
      </c>
      <c r="B447" s="1">
        <v>44972</v>
      </c>
      <c r="C447" t="s">
        <v>24</v>
      </c>
      <c r="D447" t="s">
        <v>25</v>
      </c>
      <c r="E447" s="4">
        <v>4140.7</v>
      </c>
      <c r="F447">
        <v>45</v>
      </c>
      <c r="G447" t="s">
        <v>29</v>
      </c>
      <c r="H447" s="4">
        <v>1588.04</v>
      </c>
      <c r="I447" s="4">
        <v>1703.6399999999901</v>
      </c>
      <c r="J447" t="s">
        <v>30</v>
      </c>
      <c r="K447" s="2">
        <v>0.2</v>
      </c>
      <c r="L447" t="s">
        <v>27</v>
      </c>
      <c r="M447" t="s">
        <v>22</v>
      </c>
      <c r="N447" t="s">
        <v>28</v>
      </c>
      <c r="O447" s="5">
        <f t="shared" si="6"/>
        <v>5201.9999999995562</v>
      </c>
    </row>
    <row r="448" spans="1:15" x14ac:dyDescent="0.35">
      <c r="A448">
        <v>1058</v>
      </c>
      <c r="B448" s="1">
        <v>44990</v>
      </c>
      <c r="C448" t="s">
        <v>38</v>
      </c>
      <c r="D448" t="s">
        <v>15</v>
      </c>
      <c r="E448" s="4">
        <v>252.41</v>
      </c>
      <c r="F448">
        <v>48</v>
      </c>
      <c r="G448" t="s">
        <v>16</v>
      </c>
      <c r="H448" s="4">
        <v>2596.7199999999998</v>
      </c>
      <c r="I448" s="4">
        <v>2715.0499999999902</v>
      </c>
      <c r="J448" t="s">
        <v>17</v>
      </c>
      <c r="K448" s="2">
        <v>0.04</v>
      </c>
      <c r="L448" t="s">
        <v>18</v>
      </c>
      <c r="M448" t="s">
        <v>19</v>
      </c>
      <c r="N448" t="s">
        <v>40</v>
      </c>
      <c r="O448" s="5">
        <f t="shared" si="6"/>
        <v>5679.8399999995381</v>
      </c>
    </row>
    <row r="449" spans="1:15" x14ac:dyDescent="0.35">
      <c r="A449">
        <v>1063</v>
      </c>
      <c r="B449" s="1">
        <v>45056</v>
      </c>
      <c r="C449" t="s">
        <v>24</v>
      </c>
      <c r="D449" t="s">
        <v>34</v>
      </c>
      <c r="E449" s="4">
        <v>5870.97</v>
      </c>
      <c r="F449">
        <v>47</v>
      </c>
      <c r="G449" t="s">
        <v>35</v>
      </c>
      <c r="H449" s="4">
        <v>4291.33</v>
      </c>
      <c r="I449" s="4">
        <v>4658.6400000000003</v>
      </c>
      <c r="J449" t="s">
        <v>30</v>
      </c>
      <c r="K449" s="2">
        <v>0.24</v>
      </c>
      <c r="L449" t="s">
        <v>31</v>
      </c>
      <c r="M449" t="s">
        <v>22</v>
      </c>
      <c r="N449" t="s">
        <v>50</v>
      </c>
      <c r="O449" s="5">
        <f t="shared" si="6"/>
        <v>17263.570000000018</v>
      </c>
    </row>
    <row r="450" spans="1:15" x14ac:dyDescent="0.35">
      <c r="A450">
        <v>1062</v>
      </c>
      <c r="B450" s="1">
        <v>45236</v>
      </c>
      <c r="C450" t="s">
        <v>24</v>
      </c>
      <c r="D450" t="s">
        <v>34</v>
      </c>
      <c r="E450" s="4">
        <v>2605.71</v>
      </c>
      <c r="F450">
        <v>25</v>
      </c>
      <c r="G450" t="s">
        <v>26</v>
      </c>
      <c r="H450" s="4">
        <v>2361.0500000000002</v>
      </c>
      <c r="I450" s="4">
        <v>2616.19</v>
      </c>
      <c r="J450" t="s">
        <v>30</v>
      </c>
      <c r="K450" s="2">
        <v>0.3</v>
      </c>
      <c r="L450" t="s">
        <v>27</v>
      </c>
      <c r="M450" t="s">
        <v>22</v>
      </c>
      <c r="N450" t="s">
        <v>50</v>
      </c>
      <c r="O450" s="5">
        <f t="shared" ref="O450:O513" si="7">(I450-H450)*F450</f>
        <v>6378.4999999999964</v>
      </c>
    </row>
    <row r="451" spans="1:15" x14ac:dyDescent="0.35">
      <c r="A451">
        <v>1022</v>
      </c>
      <c r="B451" s="1">
        <v>45289</v>
      </c>
      <c r="C451" t="s">
        <v>24</v>
      </c>
      <c r="D451" t="s">
        <v>15</v>
      </c>
      <c r="E451" s="4">
        <v>4557.5200000000004</v>
      </c>
      <c r="F451">
        <v>10</v>
      </c>
      <c r="G451" t="s">
        <v>16</v>
      </c>
      <c r="H451" s="4">
        <v>1830.61</v>
      </c>
      <c r="I451" s="4">
        <v>2044.04</v>
      </c>
      <c r="J451" t="s">
        <v>30</v>
      </c>
      <c r="K451" s="2">
        <v>0.11</v>
      </c>
      <c r="L451" t="s">
        <v>18</v>
      </c>
      <c r="M451" t="s">
        <v>19</v>
      </c>
      <c r="N451" t="s">
        <v>45</v>
      </c>
      <c r="O451" s="5">
        <f t="shared" si="7"/>
        <v>2134.3000000000006</v>
      </c>
    </row>
    <row r="452" spans="1:15" x14ac:dyDescent="0.35">
      <c r="A452">
        <v>1058</v>
      </c>
      <c r="B452" s="1">
        <v>45119</v>
      </c>
      <c r="C452" t="s">
        <v>38</v>
      </c>
      <c r="D452" t="s">
        <v>34</v>
      </c>
      <c r="E452" s="4">
        <v>9580.0499999999993</v>
      </c>
      <c r="F452">
        <v>14</v>
      </c>
      <c r="G452" t="s">
        <v>35</v>
      </c>
      <c r="H452" s="4">
        <v>2703.97</v>
      </c>
      <c r="I452" s="4">
        <v>2796.8799999999901</v>
      </c>
      <c r="J452" t="s">
        <v>30</v>
      </c>
      <c r="K452" s="2">
        <v>0.13</v>
      </c>
      <c r="L452" t="s">
        <v>27</v>
      </c>
      <c r="M452" t="s">
        <v>19</v>
      </c>
      <c r="N452" t="s">
        <v>48</v>
      </c>
      <c r="O452" s="5">
        <f t="shared" si="7"/>
        <v>1300.7399999998643</v>
      </c>
    </row>
    <row r="453" spans="1:15" x14ac:dyDescent="0.35">
      <c r="A453">
        <v>1058</v>
      </c>
      <c r="B453" s="1">
        <v>45233</v>
      </c>
      <c r="C453" t="s">
        <v>24</v>
      </c>
      <c r="D453" t="s">
        <v>21</v>
      </c>
      <c r="E453" s="4">
        <v>4050.45</v>
      </c>
      <c r="F453">
        <v>42</v>
      </c>
      <c r="G453" t="s">
        <v>29</v>
      </c>
      <c r="H453" s="4">
        <v>3600.95</v>
      </c>
      <c r="I453" s="4">
        <v>3702.8399999999901</v>
      </c>
      <c r="J453" t="s">
        <v>17</v>
      </c>
      <c r="K453" s="2">
        <v>0.01</v>
      </c>
      <c r="L453" t="s">
        <v>18</v>
      </c>
      <c r="M453" t="s">
        <v>22</v>
      </c>
      <c r="N453" t="s">
        <v>47</v>
      </c>
      <c r="O453" s="5">
        <f t="shared" si="7"/>
        <v>4279.3799999995936</v>
      </c>
    </row>
    <row r="454" spans="1:15" x14ac:dyDescent="0.35">
      <c r="A454">
        <v>1086</v>
      </c>
      <c r="B454" s="1">
        <v>45107</v>
      </c>
      <c r="C454" t="s">
        <v>14</v>
      </c>
      <c r="D454" t="s">
        <v>15</v>
      </c>
      <c r="E454" s="4">
        <v>8414.0400000000009</v>
      </c>
      <c r="F454">
        <v>46</v>
      </c>
      <c r="G454" t="s">
        <v>29</v>
      </c>
      <c r="H454" s="4">
        <v>2245.64</v>
      </c>
      <c r="I454" s="4">
        <v>2260.81</v>
      </c>
      <c r="J454" t="s">
        <v>30</v>
      </c>
      <c r="K454" s="2">
        <v>0</v>
      </c>
      <c r="L454" t="s">
        <v>18</v>
      </c>
      <c r="M454" t="s">
        <v>22</v>
      </c>
      <c r="N454" t="s">
        <v>20</v>
      </c>
      <c r="O454" s="5">
        <f t="shared" si="7"/>
        <v>697.82000000000335</v>
      </c>
    </row>
    <row r="455" spans="1:15" x14ac:dyDescent="0.35">
      <c r="A455">
        <v>1049</v>
      </c>
      <c r="B455" s="1">
        <v>45218</v>
      </c>
      <c r="C455" t="s">
        <v>38</v>
      </c>
      <c r="D455" t="s">
        <v>25</v>
      </c>
      <c r="E455" s="4">
        <v>1966.55</v>
      </c>
      <c r="F455">
        <v>30</v>
      </c>
      <c r="G455" t="s">
        <v>29</v>
      </c>
      <c r="H455" s="4">
        <v>4697.4399999999996</v>
      </c>
      <c r="I455" s="4">
        <v>4752.24</v>
      </c>
      <c r="J455" t="s">
        <v>30</v>
      </c>
      <c r="K455" s="2">
        <v>0.28000000000000003</v>
      </c>
      <c r="L455" t="s">
        <v>31</v>
      </c>
      <c r="M455" t="s">
        <v>19</v>
      </c>
      <c r="N455" t="s">
        <v>39</v>
      </c>
      <c r="O455" s="5">
        <f t="shared" si="7"/>
        <v>1644.0000000000055</v>
      </c>
    </row>
    <row r="456" spans="1:15" x14ac:dyDescent="0.35">
      <c r="A456">
        <v>1052</v>
      </c>
      <c r="B456" s="1">
        <v>45208</v>
      </c>
      <c r="C456" t="s">
        <v>24</v>
      </c>
      <c r="D456" t="s">
        <v>21</v>
      </c>
      <c r="E456" s="4">
        <v>6757.36</v>
      </c>
      <c r="F456">
        <v>41</v>
      </c>
      <c r="G456" t="s">
        <v>35</v>
      </c>
      <c r="H456" s="4">
        <v>1509.98</v>
      </c>
      <c r="I456" s="4">
        <v>1792.83</v>
      </c>
      <c r="J456" t="s">
        <v>30</v>
      </c>
      <c r="K456" s="2">
        <v>0.04</v>
      </c>
      <c r="L456" t="s">
        <v>18</v>
      </c>
      <c r="M456" t="s">
        <v>22</v>
      </c>
      <c r="N456" t="s">
        <v>47</v>
      </c>
      <c r="O456" s="5">
        <f t="shared" si="7"/>
        <v>11596.849999999997</v>
      </c>
    </row>
    <row r="457" spans="1:15" x14ac:dyDescent="0.35">
      <c r="A457">
        <v>1042</v>
      </c>
      <c r="B457" s="1">
        <v>44955</v>
      </c>
      <c r="C457" t="s">
        <v>38</v>
      </c>
      <c r="D457" t="s">
        <v>15</v>
      </c>
      <c r="E457" s="4">
        <v>9772.3700000000008</v>
      </c>
      <c r="F457">
        <v>25</v>
      </c>
      <c r="G457" t="s">
        <v>26</v>
      </c>
      <c r="H457" s="4">
        <v>2403.54</v>
      </c>
      <c r="I457" s="4">
        <v>2850.56</v>
      </c>
      <c r="J457" t="s">
        <v>30</v>
      </c>
      <c r="K457" s="2">
        <v>0.13</v>
      </c>
      <c r="L457" t="s">
        <v>27</v>
      </c>
      <c r="M457" t="s">
        <v>19</v>
      </c>
      <c r="N457" t="s">
        <v>40</v>
      </c>
      <c r="O457" s="5">
        <f t="shared" si="7"/>
        <v>11175.5</v>
      </c>
    </row>
    <row r="458" spans="1:15" x14ac:dyDescent="0.35">
      <c r="A458">
        <v>1070</v>
      </c>
      <c r="B458" s="1">
        <v>45075</v>
      </c>
      <c r="C458" t="s">
        <v>33</v>
      </c>
      <c r="D458" t="s">
        <v>25</v>
      </c>
      <c r="E458" s="4">
        <v>1108.74</v>
      </c>
      <c r="F458">
        <v>14</v>
      </c>
      <c r="G458" t="s">
        <v>16</v>
      </c>
      <c r="H458" s="4">
        <v>3796.79</v>
      </c>
      <c r="I458" s="4">
        <v>3947.5</v>
      </c>
      <c r="J458" t="s">
        <v>17</v>
      </c>
      <c r="K458" s="2">
        <v>0.24</v>
      </c>
      <c r="L458" t="s">
        <v>27</v>
      </c>
      <c r="M458" t="s">
        <v>19</v>
      </c>
      <c r="N458" t="s">
        <v>44</v>
      </c>
      <c r="O458" s="5">
        <f t="shared" si="7"/>
        <v>2109.9400000000005</v>
      </c>
    </row>
    <row r="459" spans="1:15" x14ac:dyDescent="0.35">
      <c r="A459">
        <v>1015</v>
      </c>
      <c r="B459" s="1">
        <v>45193</v>
      </c>
      <c r="C459" t="s">
        <v>14</v>
      </c>
      <c r="D459" t="s">
        <v>34</v>
      </c>
      <c r="E459" s="4">
        <v>182.37</v>
      </c>
      <c r="F459">
        <v>35</v>
      </c>
      <c r="G459" t="s">
        <v>29</v>
      </c>
      <c r="H459" s="4">
        <v>3461.15</v>
      </c>
      <c r="I459" s="4">
        <v>3631.75</v>
      </c>
      <c r="J459" t="s">
        <v>17</v>
      </c>
      <c r="K459" s="2">
        <v>0.27</v>
      </c>
      <c r="L459" t="s">
        <v>31</v>
      </c>
      <c r="M459" t="s">
        <v>19</v>
      </c>
      <c r="N459" t="s">
        <v>46</v>
      </c>
      <c r="O459" s="5">
        <f t="shared" si="7"/>
        <v>5970.9999999999964</v>
      </c>
    </row>
    <row r="460" spans="1:15" x14ac:dyDescent="0.35">
      <c r="A460">
        <v>1054</v>
      </c>
      <c r="B460" s="1">
        <v>45222</v>
      </c>
      <c r="C460" t="s">
        <v>24</v>
      </c>
      <c r="D460" t="s">
        <v>25</v>
      </c>
      <c r="E460" s="4">
        <v>4392.47</v>
      </c>
      <c r="F460">
        <v>48</v>
      </c>
      <c r="G460" t="s">
        <v>35</v>
      </c>
      <c r="H460" s="4">
        <v>4325.0200000000004</v>
      </c>
      <c r="I460" s="4">
        <v>4391.67</v>
      </c>
      <c r="J460" t="s">
        <v>17</v>
      </c>
      <c r="K460" s="2">
        <v>0.16</v>
      </c>
      <c r="L460" t="s">
        <v>31</v>
      </c>
      <c r="M460" t="s">
        <v>22</v>
      </c>
      <c r="N460" t="s">
        <v>28</v>
      </c>
      <c r="O460" s="5">
        <f t="shared" si="7"/>
        <v>3199.1999999999825</v>
      </c>
    </row>
    <row r="461" spans="1:15" x14ac:dyDescent="0.35">
      <c r="A461">
        <v>1060</v>
      </c>
      <c r="B461" s="1">
        <v>44937</v>
      </c>
      <c r="C461" t="s">
        <v>33</v>
      </c>
      <c r="D461" t="s">
        <v>21</v>
      </c>
      <c r="E461" s="4">
        <v>1016.99</v>
      </c>
      <c r="F461">
        <v>34</v>
      </c>
      <c r="G461" t="s">
        <v>35</v>
      </c>
      <c r="H461" s="4">
        <v>4984.21</v>
      </c>
      <c r="I461" s="4">
        <v>5184.6400000000003</v>
      </c>
      <c r="J461" t="s">
        <v>30</v>
      </c>
      <c r="K461" s="2">
        <v>0.17</v>
      </c>
      <c r="L461" t="s">
        <v>18</v>
      </c>
      <c r="M461" t="s">
        <v>19</v>
      </c>
      <c r="N461" t="s">
        <v>37</v>
      </c>
      <c r="O461" s="5">
        <f t="shared" si="7"/>
        <v>6814.6200000000099</v>
      </c>
    </row>
    <row r="462" spans="1:15" x14ac:dyDescent="0.35">
      <c r="A462">
        <v>1097</v>
      </c>
      <c r="B462" s="1">
        <v>45090</v>
      </c>
      <c r="C462" t="s">
        <v>33</v>
      </c>
      <c r="D462" t="s">
        <v>34</v>
      </c>
      <c r="E462" s="4">
        <v>7509.01</v>
      </c>
      <c r="F462">
        <v>10</v>
      </c>
      <c r="G462" t="s">
        <v>16</v>
      </c>
      <c r="H462" s="4">
        <v>2162.9499999999998</v>
      </c>
      <c r="I462" s="4">
        <v>2191.1899999999901</v>
      </c>
      <c r="J462" t="s">
        <v>17</v>
      </c>
      <c r="K462" s="2">
        <v>0.2</v>
      </c>
      <c r="L462" t="s">
        <v>31</v>
      </c>
      <c r="M462" t="s">
        <v>19</v>
      </c>
      <c r="N462" t="s">
        <v>36</v>
      </c>
      <c r="O462" s="5">
        <f t="shared" si="7"/>
        <v>282.39999999990232</v>
      </c>
    </row>
    <row r="463" spans="1:15" x14ac:dyDescent="0.35">
      <c r="A463">
        <v>1008</v>
      </c>
      <c r="B463" s="1">
        <v>45039</v>
      </c>
      <c r="C463" t="s">
        <v>38</v>
      </c>
      <c r="D463" t="s">
        <v>15</v>
      </c>
      <c r="E463" s="4">
        <v>9154.0300000000007</v>
      </c>
      <c r="F463">
        <v>35</v>
      </c>
      <c r="G463" t="s">
        <v>29</v>
      </c>
      <c r="H463" s="4">
        <v>600.20000000000005</v>
      </c>
      <c r="I463" s="4">
        <v>1059.82</v>
      </c>
      <c r="J463" t="s">
        <v>17</v>
      </c>
      <c r="K463" s="2">
        <v>0.28999999999999998</v>
      </c>
      <c r="L463" t="s">
        <v>27</v>
      </c>
      <c r="M463" t="s">
        <v>22</v>
      </c>
      <c r="N463" t="s">
        <v>40</v>
      </c>
      <c r="O463" s="5">
        <f t="shared" si="7"/>
        <v>16086.699999999997</v>
      </c>
    </row>
    <row r="464" spans="1:15" x14ac:dyDescent="0.35">
      <c r="A464">
        <v>1053</v>
      </c>
      <c r="B464" s="1">
        <v>45113</v>
      </c>
      <c r="C464" t="s">
        <v>33</v>
      </c>
      <c r="D464" t="s">
        <v>34</v>
      </c>
      <c r="E464" s="4">
        <v>4396.8100000000004</v>
      </c>
      <c r="F464">
        <v>11</v>
      </c>
      <c r="G464" t="s">
        <v>35</v>
      </c>
      <c r="H464" s="4">
        <v>200.56</v>
      </c>
      <c r="I464" s="4">
        <v>540.38</v>
      </c>
      <c r="J464" t="s">
        <v>30</v>
      </c>
      <c r="K464" s="2">
        <v>0.18</v>
      </c>
      <c r="L464" t="s">
        <v>27</v>
      </c>
      <c r="M464" t="s">
        <v>19</v>
      </c>
      <c r="N464" t="s">
        <v>36</v>
      </c>
      <c r="O464" s="5">
        <f t="shared" si="7"/>
        <v>3738.02</v>
      </c>
    </row>
    <row r="465" spans="1:15" x14ac:dyDescent="0.35">
      <c r="A465">
        <v>1060</v>
      </c>
      <c r="B465" s="1">
        <v>45221</v>
      </c>
      <c r="C465" t="s">
        <v>14</v>
      </c>
      <c r="D465" t="s">
        <v>15</v>
      </c>
      <c r="E465" s="4">
        <v>2661.25</v>
      </c>
      <c r="F465">
        <v>11</v>
      </c>
      <c r="G465" t="s">
        <v>16</v>
      </c>
      <c r="H465" s="4">
        <v>3648.04</v>
      </c>
      <c r="I465" s="4">
        <v>4143.51</v>
      </c>
      <c r="J465" t="s">
        <v>17</v>
      </c>
      <c r="K465" s="2">
        <v>0.17</v>
      </c>
      <c r="L465" t="s">
        <v>31</v>
      </c>
      <c r="M465" t="s">
        <v>22</v>
      </c>
      <c r="N465" t="s">
        <v>20</v>
      </c>
      <c r="O465" s="5">
        <f t="shared" si="7"/>
        <v>5450.1700000000028</v>
      </c>
    </row>
    <row r="466" spans="1:15" x14ac:dyDescent="0.35">
      <c r="A466">
        <v>1005</v>
      </c>
      <c r="B466" s="1">
        <v>45158</v>
      </c>
      <c r="C466" t="s">
        <v>14</v>
      </c>
      <c r="D466" t="s">
        <v>15</v>
      </c>
      <c r="E466" s="4">
        <v>4400.59</v>
      </c>
      <c r="F466">
        <v>21</v>
      </c>
      <c r="G466" t="s">
        <v>26</v>
      </c>
      <c r="H466" s="4">
        <v>4376.37</v>
      </c>
      <c r="I466" s="4">
        <v>4818.95</v>
      </c>
      <c r="J466" t="s">
        <v>30</v>
      </c>
      <c r="K466" s="2">
        <v>0</v>
      </c>
      <c r="L466" t="s">
        <v>31</v>
      </c>
      <c r="M466" t="s">
        <v>22</v>
      </c>
      <c r="N466" t="s">
        <v>20</v>
      </c>
      <c r="O466" s="5">
        <f t="shared" si="7"/>
        <v>9294.1799999999985</v>
      </c>
    </row>
    <row r="467" spans="1:15" x14ac:dyDescent="0.35">
      <c r="A467">
        <v>1068</v>
      </c>
      <c r="B467" s="1">
        <v>45153</v>
      </c>
      <c r="C467" t="s">
        <v>42</v>
      </c>
      <c r="D467" t="s">
        <v>25</v>
      </c>
      <c r="E467" s="4">
        <v>7262.13</v>
      </c>
      <c r="F467">
        <v>21</v>
      </c>
      <c r="G467" t="s">
        <v>26</v>
      </c>
      <c r="H467" s="4">
        <v>1142.53</v>
      </c>
      <c r="I467" s="4">
        <v>1384.3</v>
      </c>
      <c r="J467" t="s">
        <v>17</v>
      </c>
      <c r="K467" s="2">
        <v>0.02</v>
      </c>
      <c r="L467" t="s">
        <v>31</v>
      </c>
      <c r="M467" t="s">
        <v>22</v>
      </c>
      <c r="N467" t="s">
        <v>43</v>
      </c>
      <c r="O467" s="5">
        <f t="shared" si="7"/>
        <v>5077.17</v>
      </c>
    </row>
    <row r="468" spans="1:15" x14ac:dyDescent="0.35">
      <c r="A468">
        <v>1006</v>
      </c>
      <c r="B468" s="1">
        <v>45236</v>
      </c>
      <c r="C468" t="s">
        <v>14</v>
      </c>
      <c r="D468" t="s">
        <v>25</v>
      </c>
      <c r="E468" s="4">
        <v>189.64</v>
      </c>
      <c r="F468">
        <v>22</v>
      </c>
      <c r="G468" t="s">
        <v>26</v>
      </c>
      <c r="H468" s="4">
        <v>834.32</v>
      </c>
      <c r="I468" s="4">
        <v>1098.97</v>
      </c>
      <c r="J468" t="s">
        <v>17</v>
      </c>
      <c r="K468" s="2">
        <v>0.17</v>
      </c>
      <c r="L468" t="s">
        <v>18</v>
      </c>
      <c r="M468" t="s">
        <v>19</v>
      </c>
      <c r="N468" t="s">
        <v>32</v>
      </c>
      <c r="O468" s="5">
        <f t="shared" si="7"/>
        <v>5822.2999999999993</v>
      </c>
    </row>
    <row r="469" spans="1:15" x14ac:dyDescent="0.35">
      <c r="A469">
        <v>1096</v>
      </c>
      <c r="B469" s="1">
        <v>45024</v>
      </c>
      <c r="C469" t="s">
        <v>33</v>
      </c>
      <c r="D469" t="s">
        <v>25</v>
      </c>
      <c r="E469" s="4">
        <v>5935.59</v>
      </c>
      <c r="F469">
        <v>45</v>
      </c>
      <c r="G469" t="s">
        <v>29</v>
      </c>
      <c r="H469" s="4">
        <v>357.92</v>
      </c>
      <c r="I469" s="4">
        <v>461.3</v>
      </c>
      <c r="J469" t="s">
        <v>17</v>
      </c>
      <c r="K469" s="2">
        <v>0.28000000000000003</v>
      </c>
      <c r="L469" t="s">
        <v>18</v>
      </c>
      <c r="M469" t="s">
        <v>19</v>
      </c>
      <c r="N469" t="s">
        <v>44</v>
      </c>
      <c r="O469" s="5">
        <f t="shared" si="7"/>
        <v>4652.0999999999995</v>
      </c>
    </row>
    <row r="470" spans="1:15" x14ac:dyDescent="0.35">
      <c r="A470">
        <v>1094</v>
      </c>
      <c r="B470" s="1">
        <v>44981</v>
      </c>
      <c r="C470" t="s">
        <v>14</v>
      </c>
      <c r="D470" t="s">
        <v>21</v>
      </c>
      <c r="E470" s="4">
        <v>6171.59</v>
      </c>
      <c r="F470">
        <v>7</v>
      </c>
      <c r="G470" t="s">
        <v>16</v>
      </c>
      <c r="H470" s="4">
        <v>4122.38</v>
      </c>
      <c r="I470" s="4">
        <v>4358.78</v>
      </c>
      <c r="J470" t="s">
        <v>17</v>
      </c>
      <c r="K470" s="2">
        <v>0.26</v>
      </c>
      <c r="L470" t="s">
        <v>27</v>
      </c>
      <c r="M470" t="s">
        <v>22</v>
      </c>
      <c r="N470" t="s">
        <v>23</v>
      </c>
      <c r="O470" s="5">
        <f t="shared" si="7"/>
        <v>1654.7999999999975</v>
      </c>
    </row>
    <row r="471" spans="1:15" x14ac:dyDescent="0.35">
      <c r="A471">
        <v>1047</v>
      </c>
      <c r="B471" s="1">
        <v>45037</v>
      </c>
      <c r="C471" t="s">
        <v>38</v>
      </c>
      <c r="D471" t="s">
        <v>21</v>
      </c>
      <c r="E471" s="4">
        <v>6413.11</v>
      </c>
      <c r="F471">
        <v>17</v>
      </c>
      <c r="G471" t="s">
        <v>16</v>
      </c>
      <c r="H471" s="4">
        <v>1591.34</v>
      </c>
      <c r="I471" s="4">
        <v>2043.82</v>
      </c>
      <c r="J471" t="s">
        <v>30</v>
      </c>
      <c r="K471" s="2">
        <v>0.28999999999999998</v>
      </c>
      <c r="L471" t="s">
        <v>18</v>
      </c>
      <c r="M471" t="s">
        <v>22</v>
      </c>
      <c r="N471" t="s">
        <v>41</v>
      </c>
      <c r="O471" s="5">
        <f t="shared" si="7"/>
        <v>7692.16</v>
      </c>
    </row>
    <row r="472" spans="1:15" x14ac:dyDescent="0.35">
      <c r="A472">
        <v>1099</v>
      </c>
      <c r="B472" s="1">
        <v>45078</v>
      </c>
      <c r="C472" t="s">
        <v>42</v>
      </c>
      <c r="D472" t="s">
        <v>25</v>
      </c>
      <c r="E472" s="4">
        <v>2496.02</v>
      </c>
      <c r="F472">
        <v>2</v>
      </c>
      <c r="G472" t="s">
        <v>35</v>
      </c>
      <c r="H472" s="4">
        <v>2038.4</v>
      </c>
      <c r="I472" s="4">
        <v>2073.3200000000002</v>
      </c>
      <c r="J472" t="s">
        <v>30</v>
      </c>
      <c r="K472" s="2">
        <v>0.16</v>
      </c>
      <c r="L472" t="s">
        <v>18</v>
      </c>
      <c r="M472" t="s">
        <v>22</v>
      </c>
      <c r="N472" t="s">
        <v>43</v>
      </c>
      <c r="O472" s="5">
        <f t="shared" si="7"/>
        <v>69.840000000000146</v>
      </c>
    </row>
    <row r="473" spans="1:15" x14ac:dyDescent="0.35">
      <c r="A473">
        <v>1055</v>
      </c>
      <c r="B473" s="1">
        <v>45172</v>
      </c>
      <c r="C473" t="s">
        <v>33</v>
      </c>
      <c r="D473" t="s">
        <v>21</v>
      </c>
      <c r="E473" s="4">
        <v>7169.12</v>
      </c>
      <c r="F473">
        <v>12</v>
      </c>
      <c r="G473" t="s">
        <v>35</v>
      </c>
      <c r="H473" s="4">
        <v>2538.61</v>
      </c>
      <c r="I473" s="4">
        <v>2971.75</v>
      </c>
      <c r="J473" t="s">
        <v>17</v>
      </c>
      <c r="K473" s="2">
        <v>0.24</v>
      </c>
      <c r="L473" t="s">
        <v>18</v>
      </c>
      <c r="M473" t="s">
        <v>19</v>
      </c>
      <c r="N473" t="s">
        <v>37</v>
      </c>
      <c r="O473" s="5">
        <f t="shared" si="7"/>
        <v>5197.6799999999985</v>
      </c>
    </row>
    <row r="474" spans="1:15" x14ac:dyDescent="0.35">
      <c r="A474">
        <v>1052</v>
      </c>
      <c r="B474" s="1">
        <v>45238</v>
      </c>
      <c r="C474" t="s">
        <v>33</v>
      </c>
      <c r="D474" t="s">
        <v>34</v>
      </c>
      <c r="E474" s="4">
        <v>2072.7800000000002</v>
      </c>
      <c r="F474">
        <v>18</v>
      </c>
      <c r="G474" t="s">
        <v>16</v>
      </c>
      <c r="H474" s="4">
        <v>3271.62</v>
      </c>
      <c r="I474" s="4">
        <v>3722.38</v>
      </c>
      <c r="J474" t="s">
        <v>17</v>
      </c>
      <c r="K474" s="2">
        <v>0.19</v>
      </c>
      <c r="L474" t="s">
        <v>27</v>
      </c>
      <c r="M474" t="s">
        <v>22</v>
      </c>
      <c r="N474" t="s">
        <v>36</v>
      </c>
      <c r="O474" s="5">
        <f t="shared" si="7"/>
        <v>8113.6800000000039</v>
      </c>
    </row>
    <row r="475" spans="1:15" x14ac:dyDescent="0.35">
      <c r="A475">
        <v>1016</v>
      </c>
      <c r="B475" s="1">
        <v>45215</v>
      </c>
      <c r="C475" t="s">
        <v>38</v>
      </c>
      <c r="D475" t="s">
        <v>21</v>
      </c>
      <c r="E475" s="4">
        <v>8786.9500000000007</v>
      </c>
      <c r="F475">
        <v>11</v>
      </c>
      <c r="G475" t="s">
        <v>35</v>
      </c>
      <c r="H475" s="4">
        <v>3094.57</v>
      </c>
      <c r="I475" s="4">
        <v>3565.6</v>
      </c>
      <c r="J475" t="s">
        <v>17</v>
      </c>
      <c r="K475" s="2">
        <v>0.1</v>
      </c>
      <c r="L475" t="s">
        <v>31</v>
      </c>
      <c r="M475" t="s">
        <v>22</v>
      </c>
      <c r="N475" t="s">
        <v>41</v>
      </c>
      <c r="O475" s="5">
        <f t="shared" si="7"/>
        <v>5181.3299999999972</v>
      </c>
    </row>
    <row r="476" spans="1:15" x14ac:dyDescent="0.35">
      <c r="A476">
        <v>1013</v>
      </c>
      <c r="B476" s="1">
        <v>45176</v>
      </c>
      <c r="C476" t="s">
        <v>42</v>
      </c>
      <c r="D476" t="s">
        <v>21</v>
      </c>
      <c r="E476" s="4">
        <v>7413.36</v>
      </c>
      <c r="F476">
        <v>16</v>
      </c>
      <c r="G476" t="s">
        <v>16</v>
      </c>
      <c r="H476" s="4">
        <v>919.58</v>
      </c>
      <c r="I476" s="4">
        <v>1258.3</v>
      </c>
      <c r="J476" t="s">
        <v>17</v>
      </c>
      <c r="K476" s="2">
        <v>0.14000000000000001</v>
      </c>
      <c r="L476" t="s">
        <v>27</v>
      </c>
      <c r="M476" t="s">
        <v>19</v>
      </c>
      <c r="N476" t="s">
        <v>51</v>
      </c>
      <c r="O476" s="5">
        <f t="shared" si="7"/>
        <v>5419.5199999999986</v>
      </c>
    </row>
    <row r="477" spans="1:15" x14ac:dyDescent="0.35">
      <c r="A477">
        <v>1030</v>
      </c>
      <c r="B477" s="1">
        <v>44962</v>
      </c>
      <c r="C477" t="s">
        <v>24</v>
      </c>
      <c r="D477" t="s">
        <v>34</v>
      </c>
      <c r="E477" s="4">
        <v>236.08</v>
      </c>
      <c r="F477">
        <v>49</v>
      </c>
      <c r="G477" t="s">
        <v>16</v>
      </c>
      <c r="H477" s="4">
        <v>2590.29</v>
      </c>
      <c r="I477" s="4">
        <v>2925.86</v>
      </c>
      <c r="J477" t="s">
        <v>17</v>
      </c>
      <c r="K477" s="2">
        <v>0.26</v>
      </c>
      <c r="L477" t="s">
        <v>18</v>
      </c>
      <c r="M477" t="s">
        <v>22</v>
      </c>
      <c r="N477" t="s">
        <v>50</v>
      </c>
      <c r="O477" s="5">
        <f t="shared" si="7"/>
        <v>16442.930000000008</v>
      </c>
    </row>
    <row r="478" spans="1:15" x14ac:dyDescent="0.35">
      <c r="A478">
        <v>1019</v>
      </c>
      <c r="B478" s="1">
        <v>45165</v>
      </c>
      <c r="C478" t="s">
        <v>33</v>
      </c>
      <c r="D478" t="s">
        <v>15</v>
      </c>
      <c r="E478" s="4">
        <v>2558.92</v>
      </c>
      <c r="F478">
        <v>18</v>
      </c>
      <c r="G478" t="s">
        <v>26</v>
      </c>
      <c r="H478" s="4">
        <v>3591.14</v>
      </c>
      <c r="I478" s="4">
        <v>3822.99</v>
      </c>
      <c r="J478" t="s">
        <v>17</v>
      </c>
      <c r="K478" s="2">
        <v>0.09</v>
      </c>
      <c r="L478" t="s">
        <v>31</v>
      </c>
      <c r="M478" t="s">
        <v>19</v>
      </c>
      <c r="N478" t="s">
        <v>53</v>
      </c>
      <c r="O478" s="5">
        <f t="shared" si="7"/>
        <v>4173.2999999999984</v>
      </c>
    </row>
    <row r="479" spans="1:15" x14ac:dyDescent="0.35">
      <c r="A479">
        <v>1017</v>
      </c>
      <c r="B479" s="1">
        <v>45074</v>
      </c>
      <c r="C479" t="s">
        <v>24</v>
      </c>
      <c r="D479" t="s">
        <v>34</v>
      </c>
      <c r="E479" s="4">
        <v>2222.62</v>
      </c>
      <c r="F479">
        <v>35</v>
      </c>
      <c r="G479" t="s">
        <v>35</v>
      </c>
      <c r="H479" s="4">
        <v>4867.6400000000003</v>
      </c>
      <c r="I479" s="4">
        <v>5287.05</v>
      </c>
      <c r="J479" t="s">
        <v>17</v>
      </c>
      <c r="K479" s="2">
        <v>0.28000000000000003</v>
      </c>
      <c r="L479" t="s">
        <v>31</v>
      </c>
      <c r="M479" t="s">
        <v>19</v>
      </c>
      <c r="N479" t="s">
        <v>50</v>
      </c>
      <c r="O479" s="5">
        <f t="shared" si="7"/>
        <v>14679.349999999995</v>
      </c>
    </row>
    <row r="480" spans="1:15" x14ac:dyDescent="0.35">
      <c r="A480">
        <v>1063</v>
      </c>
      <c r="B480" s="1">
        <v>45153</v>
      </c>
      <c r="C480" t="s">
        <v>42</v>
      </c>
      <c r="D480" t="s">
        <v>34</v>
      </c>
      <c r="E480" s="4">
        <v>2780.98</v>
      </c>
      <c r="F480">
        <v>26</v>
      </c>
      <c r="G480" t="s">
        <v>26</v>
      </c>
      <c r="H480" s="4">
        <v>1046.96</v>
      </c>
      <c r="I480" s="4">
        <v>1528.15</v>
      </c>
      <c r="J480" t="s">
        <v>30</v>
      </c>
      <c r="K480" s="2">
        <v>7.0000000000000007E-2</v>
      </c>
      <c r="L480" t="s">
        <v>31</v>
      </c>
      <c r="M480" t="s">
        <v>22</v>
      </c>
      <c r="N480" t="s">
        <v>52</v>
      </c>
      <c r="O480" s="5">
        <f t="shared" si="7"/>
        <v>12510.940000000002</v>
      </c>
    </row>
    <row r="481" spans="1:15" x14ac:dyDescent="0.35">
      <c r="A481">
        <v>1019</v>
      </c>
      <c r="B481" s="1">
        <v>45170</v>
      </c>
      <c r="C481" t="s">
        <v>24</v>
      </c>
      <c r="D481" t="s">
        <v>21</v>
      </c>
      <c r="E481" s="4">
        <v>2550.84</v>
      </c>
      <c r="F481">
        <v>16</v>
      </c>
      <c r="G481" t="s">
        <v>29</v>
      </c>
      <c r="H481" s="4">
        <v>97.24</v>
      </c>
      <c r="I481" s="4">
        <v>487.03</v>
      </c>
      <c r="J481" t="s">
        <v>30</v>
      </c>
      <c r="K481" s="2">
        <v>0.22</v>
      </c>
      <c r="L481" t="s">
        <v>27</v>
      </c>
      <c r="M481" t="s">
        <v>22</v>
      </c>
      <c r="N481" t="s">
        <v>47</v>
      </c>
      <c r="O481" s="5">
        <f t="shared" si="7"/>
        <v>6236.6399999999994</v>
      </c>
    </row>
    <row r="482" spans="1:15" x14ac:dyDescent="0.35">
      <c r="A482">
        <v>1092</v>
      </c>
      <c r="B482" s="1">
        <v>45263</v>
      </c>
      <c r="C482" t="s">
        <v>24</v>
      </c>
      <c r="D482" t="s">
        <v>34</v>
      </c>
      <c r="E482" s="4">
        <v>719.01</v>
      </c>
      <c r="F482">
        <v>6</v>
      </c>
      <c r="G482" t="s">
        <v>29</v>
      </c>
      <c r="H482" s="4">
        <v>422.74</v>
      </c>
      <c r="I482" s="4">
        <v>737.49</v>
      </c>
      <c r="J482" t="s">
        <v>17</v>
      </c>
      <c r="K482" s="2">
        <v>0.19</v>
      </c>
      <c r="L482" t="s">
        <v>31</v>
      </c>
      <c r="M482" t="s">
        <v>22</v>
      </c>
      <c r="N482" t="s">
        <v>50</v>
      </c>
      <c r="O482" s="5">
        <f t="shared" si="7"/>
        <v>1888.5</v>
      </c>
    </row>
    <row r="483" spans="1:15" x14ac:dyDescent="0.35">
      <c r="A483">
        <v>1058</v>
      </c>
      <c r="B483" s="1">
        <v>45291</v>
      </c>
      <c r="C483" t="s">
        <v>42</v>
      </c>
      <c r="D483" t="s">
        <v>21</v>
      </c>
      <c r="E483" s="4">
        <v>4643.51</v>
      </c>
      <c r="F483">
        <v>44</v>
      </c>
      <c r="G483" t="s">
        <v>29</v>
      </c>
      <c r="H483" s="4">
        <v>1910.47</v>
      </c>
      <c r="I483" s="4">
        <v>2217.8000000000002</v>
      </c>
      <c r="J483" t="s">
        <v>30</v>
      </c>
      <c r="K483" s="2">
        <v>0.22</v>
      </c>
      <c r="L483" t="s">
        <v>27</v>
      </c>
      <c r="M483" t="s">
        <v>19</v>
      </c>
      <c r="N483" t="s">
        <v>51</v>
      </c>
      <c r="O483" s="5">
        <f t="shared" si="7"/>
        <v>13522.520000000008</v>
      </c>
    </row>
    <row r="484" spans="1:15" x14ac:dyDescent="0.35">
      <c r="A484">
        <v>1055</v>
      </c>
      <c r="B484" s="1">
        <v>45127</v>
      </c>
      <c r="C484" t="s">
        <v>38</v>
      </c>
      <c r="D484" t="s">
        <v>21</v>
      </c>
      <c r="E484" s="4">
        <v>7354.06</v>
      </c>
      <c r="F484">
        <v>43</v>
      </c>
      <c r="G484" t="s">
        <v>16</v>
      </c>
      <c r="H484" s="4">
        <v>4111.7</v>
      </c>
      <c r="I484" s="4">
        <v>4537.9399999999996</v>
      </c>
      <c r="J484" t="s">
        <v>17</v>
      </c>
      <c r="K484" s="2">
        <v>0.13</v>
      </c>
      <c r="L484" t="s">
        <v>27</v>
      </c>
      <c r="M484" t="s">
        <v>19</v>
      </c>
      <c r="N484" t="s">
        <v>41</v>
      </c>
      <c r="O484" s="5">
        <f t="shared" si="7"/>
        <v>18328.319999999992</v>
      </c>
    </row>
    <row r="485" spans="1:15" x14ac:dyDescent="0.35">
      <c r="A485">
        <v>1090</v>
      </c>
      <c r="B485" s="1">
        <v>45080</v>
      </c>
      <c r="C485" t="s">
        <v>24</v>
      </c>
      <c r="D485" t="s">
        <v>25</v>
      </c>
      <c r="E485" s="4">
        <v>6106.64</v>
      </c>
      <c r="F485">
        <v>47</v>
      </c>
      <c r="G485" t="s">
        <v>16</v>
      </c>
      <c r="H485" s="4">
        <v>85.35</v>
      </c>
      <c r="I485" s="4">
        <v>360.539999999999</v>
      </c>
      <c r="J485" t="s">
        <v>30</v>
      </c>
      <c r="K485" s="2">
        <v>0.28000000000000003</v>
      </c>
      <c r="L485" t="s">
        <v>18</v>
      </c>
      <c r="M485" t="s">
        <v>19</v>
      </c>
      <c r="N485" t="s">
        <v>28</v>
      </c>
      <c r="O485" s="5">
        <f t="shared" si="7"/>
        <v>12933.929999999955</v>
      </c>
    </row>
    <row r="486" spans="1:15" x14ac:dyDescent="0.35">
      <c r="A486">
        <v>1090</v>
      </c>
      <c r="B486" s="1">
        <v>44999</v>
      </c>
      <c r="C486" t="s">
        <v>24</v>
      </c>
      <c r="D486" t="s">
        <v>34</v>
      </c>
      <c r="E486" s="4">
        <v>6761.43</v>
      </c>
      <c r="F486">
        <v>47</v>
      </c>
      <c r="G486" t="s">
        <v>16</v>
      </c>
      <c r="H486" s="4">
        <v>2310.8200000000002</v>
      </c>
      <c r="I486" s="4">
        <v>2714.71</v>
      </c>
      <c r="J486" t="s">
        <v>30</v>
      </c>
      <c r="K486" s="2">
        <v>0.19</v>
      </c>
      <c r="L486" t="s">
        <v>18</v>
      </c>
      <c r="M486" t="s">
        <v>22</v>
      </c>
      <c r="N486" t="s">
        <v>50</v>
      </c>
      <c r="O486" s="5">
        <f t="shared" si="7"/>
        <v>18982.829999999994</v>
      </c>
    </row>
    <row r="487" spans="1:15" x14ac:dyDescent="0.35">
      <c r="A487">
        <v>1062</v>
      </c>
      <c r="B487" s="1">
        <v>45127</v>
      </c>
      <c r="C487" t="s">
        <v>38</v>
      </c>
      <c r="D487" t="s">
        <v>15</v>
      </c>
      <c r="E487" s="4">
        <v>903.38</v>
      </c>
      <c r="F487">
        <v>48</v>
      </c>
      <c r="G487" t="s">
        <v>35</v>
      </c>
      <c r="H487" s="4">
        <v>1679.69</v>
      </c>
      <c r="I487" s="4">
        <v>1939.04</v>
      </c>
      <c r="J487" t="s">
        <v>30</v>
      </c>
      <c r="K487" s="2">
        <v>0.09</v>
      </c>
      <c r="L487" t="s">
        <v>31</v>
      </c>
      <c r="M487" t="s">
        <v>19</v>
      </c>
      <c r="N487" t="s">
        <v>40</v>
      </c>
      <c r="O487" s="5">
        <f t="shared" si="7"/>
        <v>12448.799999999996</v>
      </c>
    </row>
    <row r="488" spans="1:15" x14ac:dyDescent="0.35">
      <c r="A488">
        <v>1023</v>
      </c>
      <c r="B488" s="1">
        <v>45222</v>
      </c>
      <c r="C488" t="s">
        <v>24</v>
      </c>
      <c r="D488" t="s">
        <v>25</v>
      </c>
      <c r="E488" s="4">
        <v>9519.76</v>
      </c>
      <c r="F488">
        <v>42</v>
      </c>
      <c r="G488" t="s">
        <v>26</v>
      </c>
      <c r="H488" s="4">
        <v>309.77999999999997</v>
      </c>
      <c r="I488" s="4">
        <v>350.38</v>
      </c>
      <c r="J488" t="s">
        <v>17</v>
      </c>
      <c r="K488" s="2">
        <v>0.19</v>
      </c>
      <c r="L488" t="s">
        <v>31</v>
      </c>
      <c r="M488" t="s">
        <v>22</v>
      </c>
      <c r="N488" t="s">
        <v>28</v>
      </c>
      <c r="O488" s="5">
        <f t="shared" si="7"/>
        <v>1705.200000000001</v>
      </c>
    </row>
    <row r="489" spans="1:15" x14ac:dyDescent="0.35">
      <c r="A489">
        <v>1009</v>
      </c>
      <c r="B489" s="1">
        <v>44943</v>
      </c>
      <c r="C489" t="s">
        <v>24</v>
      </c>
      <c r="D489" t="s">
        <v>21</v>
      </c>
      <c r="E489" s="4">
        <v>8401.07</v>
      </c>
      <c r="F489">
        <v>12</v>
      </c>
      <c r="G489" t="s">
        <v>16</v>
      </c>
      <c r="H489" s="4">
        <v>2278.67</v>
      </c>
      <c r="I489" s="4">
        <v>2476.8000000000002</v>
      </c>
      <c r="J489" t="s">
        <v>30</v>
      </c>
      <c r="K489" s="2">
        <v>0.09</v>
      </c>
      <c r="L489" t="s">
        <v>18</v>
      </c>
      <c r="M489" t="s">
        <v>22</v>
      </c>
      <c r="N489" t="s">
        <v>47</v>
      </c>
      <c r="O489" s="5">
        <f t="shared" si="7"/>
        <v>2377.5600000000013</v>
      </c>
    </row>
    <row r="490" spans="1:15" x14ac:dyDescent="0.35">
      <c r="A490">
        <v>1012</v>
      </c>
      <c r="B490" s="1">
        <v>45055</v>
      </c>
      <c r="C490" t="s">
        <v>24</v>
      </c>
      <c r="D490" t="s">
        <v>21</v>
      </c>
      <c r="E490" s="4">
        <v>8070.39</v>
      </c>
      <c r="F490">
        <v>13</v>
      </c>
      <c r="G490" t="s">
        <v>26</v>
      </c>
      <c r="H490" s="4">
        <v>1311.01</v>
      </c>
      <c r="I490" s="4">
        <v>1538.79</v>
      </c>
      <c r="J490" t="s">
        <v>17</v>
      </c>
      <c r="K490" s="2">
        <v>0.09</v>
      </c>
      <c r="L490" t="s">
        <v>27</v>
      </c>
      <c r="M490" t="s">
        <v>22</v>
      </c>
      <c r="N490" t="s">
        <v>47</v>
      </c>
      <c r="O490" s="5">
        <f t="shared" si="7"/>
        <v>2961.1399999999994</v>
      </c>
    </row>
    <row r="491" spans="1:15" x14ac:dyDescent="0.35">
      <c r="A491">
        <v>1001</v>
      </c>
      <c r="B491" s="1">
        <v>45143</v>
      </c>
      <c r="C491" t="s">
        <v>14</v>
      </c>
      <c r="D491" t="s">
        <v>15</v>
      </c>
      <c r="E491" s="4">
        <v>8247.5400000000009</v>
      </c>
      <c r="F491">
        <v>4</v>
      </c>
      <c r="G491" t="s">
        <v>26</v>
      </c>
      <c r="H491" s="4">
        <v>1791.83</v>
      </c>
      <c r="I491" s="4">
        <v>1871.22</v>
      </c>
      <c r="J491" t="s">
        <v>17</v>
      </c>
      <c r="K491" s="2">
        <v>0.12</v>
      </c>
      <c r="L491" t="s">
        <v>27</v>
      </c>
      <c r="M491" t="s">
        <v>19</v>
      </c>
      <c r="N491" t="s">
        <v>20</v>
      </c>
      <c r="O491" s="5">
        <f t="shared" si="7"/>
        <v>317.5600000000004</v>
      </c>
    </row>
    <row r="492" spans="1:15" x14ac:dyDescent="0.35">
      <c r="A492">
        <v>1058</v>
      </c>
      <c r="B492" s="1">
        <v>44987</v>
      </c>
      <c r="C492" t="s">
        <v>38</v>
      </c>
      <c r="D492" t="s">
        <v>21</v>
      </c>
      <c r="E492" s="4">
        <v>9333.83</v>
      </c>
      <c r="F492">
        <v>39</v>
      </c>
      <c r="G492" t="s">
        <v>26</v>
      </c>
      <c r="H492" s="4">
        <v>3542.8</v>
      </c>
      <c r="I492" s="4">
        <v>3603.02</v>
      </c>
      <c r="J492" t="s">
        <v>17</v>
      </c>
      <c r="K492" s="2">
        <v>0.26</v>
      </c>
      <c r="L492" t="s">
        <v>18</v>
      </c>
      <c r="M492" t="s">
        <v>19</v>
      </c>
      <c r="N492" t="s">
        <v>41</v>
      </c>
      <c r="O492" s="5">
        <f t="shared" si="7"/>
        <v>2348.5799999999922</v>
      </c>
    </row>
    <row r="493" spans="1:15" x14ac:dyDescent="0.35">
      <c r="A493">
        <v>1001</v>
      </c>
      <c r="B493" s="1">
        <v>45030</v>
      </c>
      <c r="C493" t="s">
        <v>24</v>
      </c>
      <c r="D493" t="s">
        <v>34</v>
      </c>
      <c r="E493" s="4">
        <v>5488.11</v>
      </c>
      <c r="F493">
        <v>2</v>
      </c>
      <c r="G493" t="s">
        <v>35</v>
      </c>
      <c r="H493" s="4">
        <v>2631.68</v>
      </c>
      <c r="I493" s="4">
        <v>2904.06</v>
      </c>
      <c r="J493" t="s">
        <v>30</v>
      </c>
      <c r="K493" s="2">
        <v>0.15</v>
      </c>
      <c r="L493" t="s">
        <v>27</v>
      </c>
      <c r="M493" t="s">
        <v>19</v>
      </c>
      <c r="N493" t="s">
        <v>50</v>
      </c>
      <c r="O493" s="5">
        <f t="shared" si="7"/>
        <v>544.76000000000022</v>
      </c>
    </row>
    <row r="494" spans="1:15" x14ac:dyDescent="0.35">
      <c r="A494">
        <v>1034</v>
      </c>
      <c r="B494" s="1">
        <v>44968</v>
      </c>
      <c r="C494" t="s">
        <v>38</v>
      </c>
      <c r="D494" t="s">
        <v>25</v>
      </c>
      <c r="E494" s="4">
        <v>2082.79</v>
      </c>
      <c r="F494">
        <v>26</v>
      </c>
      <c r="G494" t="s">
        <v>35</v>
      </c>
      <c r="H494" s="4">
        <v>667</v>
      </c>
      <c r="I494" s="4">
        <v>718.72</v>
      </c>
      <c r="J494" t="s">
        <v>30</v>
      </c>
      <c r="K494" s="2">
        <v>0.2</v>
      </c>
      <c r="L494" t="s">
        <v>18</v>
      </c>
      <c r="M494" t="s">
        <v>22</v>
      </c>
      <c r="N494" t="s">
        <v>39</v>
      </c>
      <c r="O494" s="5">
        <f t="shared" si="7"/>
        <v>1344.7200000000007</v>
      </c>
    </row>
    <row r="495" spans="1:15" x14ac:dyDescent="0.35">
      <c r="A495">
        <v>1096</v>
      </c>
      <c r="B495" s="1">
        <v>44951</v>
      </c>
      <c r="C495" t="s">
        <v>33</v>
      </c>
      <c r="D495" t="s">
        <v>21</v>
      </c>
      <c r="E495" s="4">
        <v>6206.16</v>
      </c>
      <c r="F495">
        <v>27</v>
      </c>
      <c r="G495" t="s">
        <v>29</v>
      </c>
      <c r="H495" s="4">
        <v>4809</v>
      </c>
      <c r="I495" s="4">
        <v>4967.4399999999996</v>
      </c>
      <c r="J495" t="s">
        <v>30</v>
      </c>
      <c r="K495" s="2">
        <v>0.12</v>
      </c>
      <c r="L495" t="s">
        <v>18</v>
      </c>
      <c r="M495" t="s">
        <v>19</v>
      </c>
      <c r="N495" t="s">
        <v>37</v>
      </c>
      <c r="O495" s="5">
        <f t="shared" si="7"/>
        <v>4277.8799999999892</v>
      </c>
    </row>
    <row r="496" spans="1:15" x14ac:dyDescent="0.35">
      <c r="A496">
        <v>1048</v>
      </c>
      <c r="B496" s="1">
        <v>44965</v>
      </c>
      <c r="C496" t="s">
        <v>33</v>
      </c>
      <c r="D496" t="s">
        <v>21</v>
      </c>
      <c r="E496" s="4">
        <v>7454.53</v>
      </c>
      <c r="F496">
        <v>27</v>
      </c>
      <c r="G496" t="s">
        <v>29</v>
      </c>
      <c r="H496" s="4">
        <v>3197.76</v>
      </c>
      <c r="I496" s="4">
        <v>3572.61</v>
      </c>
      <c r="J496" t="s">
        <v>17</v>
      </c>
      <c r="K496" s="2">
        <v>0.08</v>
      </c>
      <c r="L496" t="s">
        <v>31</v>
      </c>
      <c r="M496" t="s">
        <v>19</v>
      </c>
      <c r="N496" t="s">
        <v>37</v>
      </c>
      <c r="O496" s="5">
        <f t="shared" si="7"/>
        <v>10120.949999999997</v>
      </c>
    </row>
    <row r="497" spans="1:15" x14ac:dyDescent="0.35">
      <c r="A497">
        <v>1089</v>
      </c>
      <c r="B497" s="1">
        <v>45217</v>
      </c>
      <c r="C497" t="s">
        <v>24</v>
      </c>
      <c r="D497" t="s">
        <v>15</v>
      </c>
      <c r="E497" s="4">
        <v>7405.38</v>
      </c>
      <c r="F497">
        <v>15</v>
      </c>
      <c r="G497" t="s">
        <v>26</v>
      </c>
      <c r="H497" s="4">
        <v>3841.05</v>
      </c>
      <c r="I497" s="4">
        <v>4323.62</v>
      </c>
      <c r="J497" t="s">
        <v>17</v>
      </c>
      <c r="K497" s="2">
        <v>0.28999999999999998</v>
      </c>
      <c r="L497" t="s">
        <v>31</v>
      </c>
      <c r="M497" t="s">
        <v>22</v>
      </c>
      <c r="N497" t="s">
        <v>45</v>
      </c>
      <c r="O497" s="5">
        <f t="shared" si="7"/>
        <v>7238.5499999999956</v>
      </c>
    </row>
    <row r="498" spans="1:15" x14ac:dyDescent="0.35">
      <c r="A498">
        <v>1001</v>
      </c>
      <c r="B498" s="1">
        <v>45057</v>
      </c>
      <c r="C498" t="s">
        <v>38</v>
      </c>
      <c r="D498" t="s">
        <v>34</v>
      </c>
      <c r="E498" s="4">
        <v>5262.35</v>
      </c>
      <c r="F498">
        <v>8</v>
      </c>
      <c r="G498" t="s">
        <v>29</v>
      </c>
      <c r="H498" s="4">
        <v>442.11</v>
      </c>
      <c r="I498" s="4">
        <v>803.87</v>
      </c>
      <c r="J498" t="s">
        <v>30</v>
      </c>
      <c r="K498" s="2">
        <v>0.18</v>
      </c>
      <c r="L498" t="s">
        <v>18</v>
      </c>
      <c r="M498" t="s">
        <v>22</v>
      </c>
      <c r="N498" t="s">
        <v>48</v>
      </c>
      <c r="O498" s="5">
        <f t="shared" si="7"/>
        <v>2894.08</v>
      </c>
    </row>
    <row r="499" spans="1:15" x14ac:dyDescent="0.35">
      <c r="A499">
        <v>1016</v>
      </c>
      <c r="B499" s="1">
        <v>45155</v>
      </c>
      <c r="C499" t="s">
        <v>38</v>
      </c>
      <c r="D499" t="s">
        <v>21</v>
      </c>
      <c r="E499" s="4">
        <v>777.74</v>
      </c>
      <c r="F499">
        <v>7</v>
      </c>
      <c r="G499" t="s">
        <v>26</v>
      </c>
      <c r="H499" s="4">
        <v>282.94</v>
      </c>
      <c r="I499" s="4">
        <v>779.32999999999902</v>
      </c>
      <c r="J499" t="s">
        <v>17</v>
      </c>
      <c r="K499" s="2">
        <v>0.28000000000000003</v>
      </c>
      <c r="L499" t="s">
        <v>31</v>
      </c>
      <c r="M499" t="s">
        <v>19</v>
      </c>
      <c r="N499" t="s">
        <v>41</v>
      </c>
      <c r="O499" s="5">
        <f t="shared" si="7"/>
        <v>3474.7299999999932</v>
      </c>
    </row>
    <row r="500" spans="1:15" x14ac:dyDescent="0.35">
      <c r="A500">
        <v>1061</v>
      </c>
      <c r="B500" s="1">
        <v>45034</v>
      </c>
      <c r="C500" t="s">
        <v>38</v>
      </c>
      <c r="D500" t="s">
        <v>15</v>
      </c>
      <c r="E500" s="4">
        <v>3774.02</v>
      </c>
      <c r="F500">
        <v>47</v>
      </c>
      <c r="G500" t="s">
        <v>35</v>
      </c>
      <c r="H500" s="4">
        <v>146.27000000000001</v>
      </c>
      <c r="I500" s="4">
        <v>498.46</v>
      </c>
      <c r="J500" t="s">
        <v>30</v>
      </c>
      <c r="K500" s="2">
        <v>0.06</v>
      </c>
      <c r="L500" t="s">
        <v>18</v>
      </c>
      <c r="M500" t="s">
        <v>22</v>
      </c>
      <c r="N500" t="s">
        <v>40</v>
      </c>
      <c r="O500" s="5">
        <f t="shared" si="7"/>
        <v>16552.929999999997</v>
      </c>
    </row>
    <row r="501" spans="1:15" x14ac:dyDescent="0.35">
      <c r="A501">
        <v>1064</v>
      </c>
      <c r="B501" s="1">
        <v>45098</v>
      </c>
      <c r="C501" t="s">
        <v>14</v>
      </c>
      <c r="D501" t="s">
        <v>21</v>
      </c>
      <c r="E501" s="4">
        <v>9215.59</v>
      </c>
      <c r="F501">
        <v>46</v>
      </c>
      <c r="G501" t="s">
        <v>35</v>
      </c>
      <c r="H501" s="4">
        <v>984.53</v>
      </c>
      <c r="I501" s="4">
        <v>1138.49</v>
      </c>
      <c r="J501" t="s">
        <v>30</v>
      </c>
      <c r="K501" s="2">
        <v>0.04</v>
      </c>
      <c r="L501" t="s">
        <v>27</v>
      </c>
      <c r="M501" t="s">
        <v>19</v>
      </c>
      <c r="N501" t="s">
        <v>23</v>
      </c>
      <c r="O501" s="5">
        <f t="shared" si="7"/>
        <v>7082.1600000000017</v>
      </c>
    </row>
    <row r="502" spans="1:15" x14ac:dyDescent="0.35">
      <c r="A502">
        <v>1063</v>
      </c>
      <c r="B502" s="1">
        <v>45028</v>
      </c>
      <c r="C502" t="s">
        <v>33</v>
      </c>
      <c r="D502" t="s">
        <v>15</v>
      </c>
      <c r="E502" s="4">
        <v>5886.04</v>
      </c>
      <c r="F502">
        <v>40</v>
      </c>
      <c r="G502" t="s">
        <v>35</v>
      </c>
      <c r="H502" s="4">
        <v>2101.3200000000002</v>
      </c>
      <c r="I502" s="4">
        <v>2440.63</v>
      </c>
      <c r="J502" t="s">
        <v>30</v>
      </c>
      <c r="K502" s="2">
        <v>0.26</v>
      </c>
      <c r="L502" t="s">
        <v>27</v>
      </c>
      <c r="M502" t="s">
        <v>22</v>
      </c>
      <c r="N502" t="s">
        <v>53</v>
      </c>
      <c r="O502" s="5">
        <f t="shared" si="7"/>
        <v>13572.399999999998</v>
      </c>
    </row>
    <row r="503" spans="1:15" x14ac:dyDescent="0.35">
      <c r="A503">
        <v>1069</v>
      </c>
      <c r="B503" s="1">
        <v>45280</v>
      </c>
      <c r="C503" t="s">
        <v>38</v>
      </c>
      <c r="D503" t="s">
        <v>15</v>
      </c>
      <c r="E503" s="4">
        <v>5429.49</v>
      </c>
      <c r="F503">
        <v>12</v>
      </c>
      <c r="G503" t="s">
        <v>16</v>
      </c>
      <c r="H503" s="4">
        <v>4682.34</v>
      </c>
      <c r="I503" s="4">
        <v>5036.3999999999996</v>
      </c>
      <c r="J503" t="s">
        <v>30</v>
      </c>
      <c r="K503" s="2">
        <v>0.2</v>
      </c>
      <c r="L503" t="s">
        <v>27</v>
      </c>
      <c r="M503" t="s">
        <v>22</v>
      </c>
      <c r="N503" t="s">
        <v>40</v>
      </c>
      <c r="O503" s="5">
        <f t="shared" si="7"/>
        <v>4248.7199999999939</v>
      </c>
    </row>
    <row r="504" spans="1:15" x14ac:dyDescent="0.35">
      <c r="A504">
        <v>1022</v>
      </c>
      <c r="B504" s="1">
        <v>44938</v>
      </c>
      <c r="C504" t="s">
        <v>38</v>
      </c>
      <c r="D504" t="s">
        <v>34</v>
      </c>
      <c r="E504" s="4">
        <v>2761.65</v>
      </c>
      <c r="F504">
        <v>13</v>
      </c>
      <c r="G504" t="s">
        <v>26</v>
      </c>
      <c r="H504" s="4">
        <v>2312.4499999999998</v>
      </c>
      <c r="I504" s="4">
        <v>2504.6</v>
      </c>
      <c r="J504" t="s">
        <v>17</v>
      </c>
      <c r="K504" s="2">
        <v>0.06</v>
      </c>
      <c r="L504" t="s">
        <v>27</v>
      </c>
      <c r="M504" t="s">
        <v>19</v>
      </c>
      <c r="N504" t="s">
        <v>48</v>
      </c>
      <c r="O504" s="5">
        <f t="shared" si="7"/>
        <v>2497.9500000000012</v>
      </c>
    </row>
    <row r="505" spans="1:15" x14ac:dyDescent="0.35">
      <c r="A505">
        <v>1093</v>
      </c>
      <c r="B505" s="1">
        <v>45201</v>
      </c>
      <c r="C505" t="s">
        <v>14</v>
      </c>
      <c r="D505" t="s">
        <v>21</v>
      </c>
      <c r="E505" s="4">
        <v>3747.64</v>
      </c>
      <c r="F505">
        <v>43</v>
      </c>
      <c r="G505" t="s">
        <v>35</v>
      </c>
      <c r="H505" s="4">
        <v>1486.76</v>
      </c>
      <c r="I505" s="4">
        <v>1505.44</v>
      </c>
      <c r="J505" t="s">
        <v>30</v>
      </c>
      <c r="K505" s="2">
        <v>0.08</v>
      </c>
      <c r="L505" t="s">
        <v>18</v>
      </c>
      <c r="M505" t="s">
        <v>22</v>
      </c>
      <c r="N505" t="s">
        <v>23</v>
      </c>
      <c r="O505" s="5">
        <f t="shared" si="7"/>
        <v>803.24000000000274</v>
      </c>
    </row>
    <row r="506" spans="1:15" x14ac:dyDescent="0.35">
      <c r="A506">
        <v>1067</v>
      </c>
      <c r="B506" s="1">
        <v>45027</v>
      </c>
      <c r="C506" t="s">
        <v>14</v>
      </c>
      <c r="D506" t="s">
        <v>34</v>
      </c>
      <c r="E506" s="4">
        <v>8963.93</v>
      </c>
      <c r="F506">
        <v>17</v>
      </c>
      <c r="G506" t="s">
        <v>26</v>
      </c>
      <c r="H506" s="4">
        <v>2831.58</v>
      </c>
      <c r="I506" s="4">
        <v>3186.15</v>
      </c>
      <c r="J506" t="s">
        <v>30</v>
      </c>
      <c r="K506" s="2">
        <v>0.24</v>
      </c>
      <c r="L506" t="s">
        <v>27</v>
      </c>
      <c r="M506" t="s">
        <v>22</v>
      </c>
      <c r="N506" t="s">
        <v>46</v>
      </c>
      <c r="O506" s="5">
        <f t="shared" si="7"/>
        <v>6027.6900000000023</v>
      </c>
    </row>
    <row r="507" spans="1:15" x14ac:dyDescent="0.35">
      <c r="A507">
        <v>1076</v>
      </c>
      <c r="B507" s="1">
        <v>44970</v>
      </c>
      <c r="C507" t="s">
        <v>38</v>
      </c>
      <c r="D507" t="s">
        <v>15</v>
      </c>
      <c r="E507" s="4">
        <v>6697.98</v>
      </c>
      <c r="F507">
        <v>17</v>
      </c>
      <c r="G507" t="s">
        <v>29</v>
      </c>
      <c r="H507" s="4">
        <v>604.08000000000004</v>
      </c>
      <c r="I507" s="4">
        <v>624.71</v>
      </c>
      <c r="J507" t="s">
        <v>30</v>
      </c>
      <c r="K507" s="2">
        <v>0.14000000000000001</v>
      </c>
      <c r="L507" t="s">
        <v>27</v>
      </c>
      <c r="M507" t="s">
        <v>22</v>
      </c>
      <c r="N507" t="s">
        <v>40</v>
      </c>
      <c r="O507" s="5">
        <f t="shared" si="7"/>
        <v>350.70999999999992</v>
      </c>
    </row>
    <row r="508" spans="1:15" x14ac:dyDescent="0.35">
      <c r="A508">
        <v>1026</v>
      </c>
      <c r="B508" s="1">
        <v>45231</v>
      </c>
      <c r="C508" t="s">
        <v>42</v>
      </c>
      <c r="D508" t="s">
        <v>25</v>
      </c>
      <c r="E508" s="4">
        <v>7895.13</v>
      </c>
      <c r="F508">
        <v>36</v>
      </c>
      <c r="G508" t="s">
        <v>29</v>
      </c>
      <c r="H508" s="4">
        <v>3067.05</v>
      </c>
      <c r="I508" s="4">
        <v>3386.33</v>
      </c>
      <c r="J508" t="s">
        <v>30</v>
      </c>
      <c r="K508" s="2">
        <v>0.2</v>
      </c>
      <c r="L508" t="s">
        <v>27</v>
      </c>
      <c r="M508" t="s">
        <v>19</v>
      </c>
      <c r="N508" t="s">
        <v>43</v>
      </c>
      <c r="O508" s="5">
        <f t="shared" si="7"/>
        <v>11494.079999999991</v>
      </c>
    </row>
    <row r="509" spans="1:15" x14ac:dyDescent="0.35">
      <c r="A509">
        <v>1016</v>
      </c>
      <c r="B509" s="1">
        <v>44943</v>
      </c>
      <c r="C509" t="s">
        <v>38</v>
      </c>
      <c r="D509" t="s">
        <v>21</v>
      </c>
      <c r="E509" s="4">
        <v>4598.0200000000004</v>
      </c>
      <c r="F509">
        <v>21</v>
      </c>
      <c r="G509" t="s">
        <v>35</v>
      </c>
      <c r="H509" s="4">
        <v>2863.74</v>
      </c>
      <c r="I509" s="4">
        <v>2953.91</v>
      </c>
      <c r="J509" t="s">
        <v>30</v>
      </c>
      <c r="K509" s="2">
        <v>0.1</v>
      </c>
      <c r="L509" t="s">
        <v>27</v>
      </c>
      <c r="M509" t="s">
        <v>22</v>
      </c>
      <c r="N509" t="s">
        <v>41</v>
      </c>
      <c r="O509" s="5">
        <f t="shared" si="7"/>
        <v>1893.5700000000015</v>
      </c>
    </row>
    <row r="510" spans="1:15" x14ac:dyDescent="0.35">
      <c r="A510">
        <v>1051</v>
      </c>
      <c r="B510" s="1">
        <v>45256</v>
      </c>
      <c r="C510" t="s">
        <v>38</v>
      </c>
      <c r="D510" t="s">
        <v>25</v>
      </c>
      <c r="E510" s="4">
        <v>6339.45</v>
      </c>
      <c r="F510">
        <v>8</v>
      </c>
      <c r="G510" t="s">
        <v>26</v>
      </c>
      <c r="H510" s="4">
        <v>3970.37</v>
      </c>
      <c r="I510" s="4">
        <v>4257.5199999999904</v>
      </c>
      <c r="J510" t="s">
        <v>30</v>
      </c>
      <c r="K510" s="2">
        <v>0.11</v>
      </c>
      <c r="L510" t="s">
        <v>18</v>
      </c>
      <c r="M510" t="s">
        <v>22</v>
      </c>
      <c r="N510" t="s">
        <v>39</v>
      </c>
      <c r="O510" s="5">
        <f t="shared" si="7"/>
        <v>2297.1999999999243</v>
      </c>
    </row>
    <row r="511" spans="1:15" x14ac:dyDescent="0.35">
      <c r="A511">
        <v>1086</v>
      </c>
      <c r="B511" s="1">
        <v>44983</v>
      </c>
      <c r="C511" t="s">
        <v>14</v>
      </c>
      <c r="D511" t="s">
        <v>21</v>
      </c>
      <c r="E511" s="4">
        <v>2559</v>
      </c>
      <c r="F511">
        <v>5</v>
      </c>
      <c r="G511" t="s">
        <v>35</v>
      </c>
      <c r="H511" s="4">
        <v>4934.1000000000004</v>
      </c>
      <c r="I511" s="4">
        <v>5191.0200000000004</v>
      </c>
      <c r="J511" t="s">
        <v>30</v>
      </c>
      <c r="K511" s="2">
        <v>0.3</v>
      </c>
      <c r="L511" t="s">
        <v>27</v>
      </c>
      <c r="M511" t="s">
        <v>19</v>
      </c>
      <c r="N511" t="s">
        <v>23</v>
      </c>
      <c r="O511" s="5">
        <f t="shared" si="7"/>
        <v>1284.6000000000004</v>
      </c>
    </row>
    <row r="512" spans="1:15" x14ac:dyDescent="0.35">
      <c r="A512">
        <v>1057</v>
      </c>
      <c r="B512" s="1">
        <v>45237</v>
      </c>
      <c r="C512" t="s">
        <v>14</v>
      </c>
      <c r="D512" t="s">
        <v>34</v>
      </c>
      <c r="E512" s="4">
        <v>7084.06</v>
      </c>
      <c r="F512">
        <v>26</v>
      </c>
      <c r="G512" t="s">
        <v>29</v>
      </c>
      <c r="H512" s="4">
        <v>1291.82</v>
      </c>
      <c r="I512" s="4">
        <v>1308.4399999999901</v>
      </c>
      <c r="J512" t="s">
        <v>17</v>
      </c>
      <c r="K512" s="2">
        <v>7.0000000000000007E-2</v>
      </c>
      <c r="L512" t="s">
        <v>31</v>
      </c>
      <c r="M512" t="s">
        <v>19</v>
      </c>
      <c r="N512" t="s">
        <v>46</v>
      </c>
      <c r="O512" s="5">
        <f t="shared" si="7"/>
        <v>432.11999999974296</v>
      </c>
    </row>
    <row r="513" spans="1:15" x14ac:dyDescent="0.35">
      <c r="A513">
        <v>1029</v>
      </c>
      <c r="B513" s="1">
        <v>45229</v>
      </c>
      <c r="C513" t="s">
        <v>38</v>
      </c>
      <c r="D513" t="s">
        <v>34</v>
      </c>
      <c r="E513" s="4">
        <v>4333.25</v>
      </c>
      <c r="F513">
        <v>16</v>
      </c>
      <c r="G513" t="s">
        <v>35</v>
      </c>
      <c r="H513" s="4">
        <v>2572.8000000000002</v>
      </c>
      <c r="I513" s="4">
        <v>2760.6</v>
      </c>
      <c r="J513" t="s">
        <v>17</v>
      </c>
      <c r="K513" s="2">
        <v>0.15</v>
      </c>
      <c r="L513" t="s">
        <v>31</v>
      </c>
      <c r="M513" t="s">
        <v>22</v>
      </c>
      <c r="N513" t="s">
        <v>48</v>
      </c>
      <c r="O513" s="5">
        <f t="shared" si="7"/>
        <v>3004.7999999999956</v>
      </c>
    </row>
    <row r="514" spans="1:15" x14ac:dyDescent="0.35">
      <c r="A514">
        <v>1078</v>
      </c>
      <c r="B514" s="1">
        <v>44938</v>
      </c>
      <c r="C514" t="s">
        <v>38</v>
      </c>
      <c r="D514" t="s">
        <v>34</v>
      </c>
      <c r="E514" s="4">
        <v>4481.2</v>
      </c>
      <c r="F514">
        <v>36</v>
      </c>
      <c r="G514" t="s">
        <v>26</v>
      </c>
      <c r="H514" s="4">
        <v>4548.88</v>
      </c>
      <c r="I514" s="4">
        <v>4853.41</v>
      </c>
      <c r="J514" t="s">
        <v>17</v>
      </c>
      <c r="K514" s="2">
        <v>0.25</v>
      </c>
      <c r="L514" t="s">
        <v>31</v>
      </c>
      <c r="M514" t="s">
        <v>22</v>
      </c>
      <c r="N514" t="s">
        <v>48</v>
      </c>
      <c r="O514" s="5">
        <f t="shared" ref="O514:O577" si="8">(I514-H514)*F514</f>
        <v>10963.079999999991</v>
      </c>
    </row>
    <row r="515" spans="1:15" x14ac:dyDescent="0.35">
      <c r="A515">
        <v>1092</v>
      </c>
      <c r="B515" s="1">
        <v>45244</v>
      </c>
      <c r="C515" t="s">
        <v>38</v>
      </c>
      <c r="D515" t="s">
        <v>34</v>
      </c>
      <c r="E515" s="4">
        <v>6528.29</v>
      </c>
      <c r="F515">
        <v>28</v>
      </c>
      <c r="G515" t="s">
        <v>29</v>
      </c>
      <c r="H515" s="4">
        <v>3936.69</v>
      </c>
      <c r="I515" s="4">
        <v>4362.51</v>
      </c>
      <c r="J515" t="s">
        <v>17</v>
      </c>
      <c r="K515" s="2">
        <v>7.0000000000000007E-2</v>
      </c>
      <c r="L515" t="s">
        <v>31</v>
      </c>
      <c r="M515" t="s">
        <v>22</v>
      </c>
      <c r="N515" t="s">
        <v>48</v>
      </c>
      <c r="O515" s="5">
        <f t="shared" si="8"/>
        <v>11922.960000000005</v>
      </c>
    </row>
    <row r="516" spans="1:15" x14ac:dyDescent="0.35">
      <c r="A516">
        <v>1069</v>
      </c>
      <c r="B516" s="1">
        <v>45006</v>
      </c>
      <c r="C516" t="s">
        <v>14</v>
      </c>
      <c r="D516" t="s">
        <v>34</v>
      </c>
      <c r="E516" s="4">
        <v>9369.18</v>
      </c>
      <c r="F516">
        <v>29</v>
      </c>
      <c r="G516" t="s">
        <v>16</v>
      </c>
      <c r="H516" s="4">
        <v>2462.66</v>
      </c>
      <c r="I516" s="4">
        <v>2908.0899999999901</v>
      </c>
      <c r="J516" t="s">
        <v>30</v>
      </c>
      <c r="K516" s="2">
        <v>0.12</v>
      </c>
      <c r="L516" t="s">
        <v>31</v>
      </c>
      <c r="M516" t="s">
        <v>19</v>
      </c>
      <c r="N516" t="s">
        <v>46</v>
      </c>
      <c r="O516" s="5">
        <f t="shared" si="8"/>
        <v>12917.469999999717</v>
      </c>
    </row>
    <row r="517" spans="1:15" x14ac:dyDescent="0.35">
      <c r="A517">
        <v>1047</v>
      </c>
      <c r="B517" s="1">
        <v>45142</v>
      </c>
      <c r="C517" t="s">
        <v>38</v>
      </c>
      <c r="D517" t="s">
        <v>25</v>
      </c>
      <c r="E517" s="4">
        <v>733.66</v>
      </c>
      <c r="F517">
        <v>47</v>
      </c>
      <c r="G517" t="s">
        <v>29</v>
      </c>
      <c r="H517" s="4">
        <v>4729.59</v>
      </c>
      <c r="I517" s="4">
        <v>4976.68</v>
      </c>
      <c r="J517" t="s">
        <v>17</v>
      </c>
      <c r="K517" s="2">
        <v>0.18</v>
      </c>
      <c r="L517" t="s">
        <v>31</v>
      </c>
      <c r="M517" t="s">
        <v>22</v>
      </c>
      <c r="N517" t="s">
        <v>39</v>
      </c>
      <c r="O517" s="5">
        <f t="shared" si="8"/>
        <v>11613.230000000007</v>
      </c>
    </row>
    <row r="518" spans="1:15" x14ac:dyDescent="0.35">
      <c r="A518">
        <v>1094</v>
      </c>
      <c r="B518" s="1">
        <v>45265</v>
      </c>
      <c r="C518" t="s">
        <v>38</v>
      </c>
      <c r="D518" t="s">
        <v>34</v>
      </c>
      <c r="E518" s="4">
        <v>8264.9599999999991</v>
      </c>
      <c r="F518">
        <v>12</v>
      </c>
      <c r="G518" t="s">
        <v>16</v>
      </c>
      <c r="H518" s="4">
        <v>333.32</v>
      </c>
      <c r="I518" s="4">
        <v>700.25</v>
      </c>
      <c r="J518" t="s">
        <v>17</v>
      </c>
      <c r="K518" s="2">
        <v>0.14000000000000001</v>
      </c>
      <c r="L518" t="s">
        <v>18</v>
      </c>
      <c r="M518" t="s">
        <v>19</v>
      </c>
      <c r="N518" t="s">
        <v>48</v>
      </c>
      <c r="O518" s="5">
        <f t="shared" si="8"/>
        <v>4403.16</v>
      </c>
    </row>
    <row r="519" spans="1:15" x14ac:dyDescent="0.35">
      <c r="A519">
        <v>1062</v>
      </c>
      <c r="B519" s="1">
        <v>45190</v>
      </c>
      <c r="C519" t="s">
        <v>24</v>
      </c>
      <c r="D519" t="s">
        <v>15</v>
      </c>
      <c r="E519" s="4">
        <v>2994.59</v>
      </c>
      <c r="F519">
        <v>37</v>
      </c>
      <c r="G519" t="s">
        <v>35</v>
      </c>
      <c r="H519" s="4">
        <v>4658.4399999999996</v>
      </c>
      <c r="I519" s="4">
        <v>4823.5</v>
      </c>
      <c r="J519" t="s">
        <v>17</v>
      </c>
      <c r="K519" s="2">
        <v>0.14000000000000001</v>
      </c>
      <c r="L519" t="s">
        <v>31</v>
      </c>
      <c r="M519" t="s">
        <v>19</v>
      </c>
      <c r="N519" t="s">
        <v>45</v>
      </c>
      <c r="O519" s="5">
        <f t="shared" si="8"/>
        <v>6107.2200000000148</v>
      </c>
    </row>
    <row r="520" spans="1:15" x14ac:dyDescent="0.35">
      <c r="A520">
        <v>1069</v>
      </c>
      <c r="B520" s="1">
        <v>45075</v>
      </c>
      <c r="C520" t="s">
        <v>42</v>
      </c>
      <c r="D520" t="s">
        <v>15</v>
      </c>
      <c r="E520" s="4">
        <v>4494.8</v>
      </c>
      <c r="F520">
        <v>30</v>
      </c>
      <c r="G520" t="s">
        <v>35</v>
      </c>
      <c r="H520" s="4">
        <v>300.01</v>
      </c>
      <c r="I520" s="4">
        <v>477.67999999999898</v>
      </c>
      <c r="J520" t="s">
        <v>30</v>
      </c>
      <c r="K520" s="2">
        <v>0.11</v>
      </c>
      <c r="L520" t="s">
        <v>27</v>
      </c>
      <c r="M520" t="s">
        <v>22</v>
      </c>
      <c r="N520" t="s">
        <v>49</v>
      </c>
      <c r="O520" s="5">
        <f t="shared" si="8"/>
        <v>5330.0999999999694</v>
      </c>
    </row>
    <row r="521" spans="1:15" x14ac:dyDescent="0.35">
      <c r="A521">
        <v>1076</v>
      </c>
      <c r="B521" s="1">
        <v>45007</v>
      </c>
      <c r="C521" t="s">
        <v>33</v>
      </c>
      <c r="D521" t="s">
        <v>25</v>
      </c>
      <c r="E521" s="4">
        <v>316.94</v>
      </c>
      <c r="F521">
        <v>23</v>
      </c>
      <c r="G521" t="s">
        <v>26</v>
      </c>
      <c r="H521" s="4">
        <v>2759.16</v>
      </c>
      <c r="I521" s="4">
        <v>2864.45</v>
      </c>
      <c r="J521" t="s">
        <v>17</v>
      </c>
      <c r="K521" s="2">
        <v>0.18</v>
      </c>
      <c r="L521" t="s">
        <v>31</v>
      </c>
      <c r="M521" t="s">
        <v>22</v>
      </c>
      <c r="N521" t="s">
        <v>44</v>
      </c>
      <c r="O521" s="5">
        <f t="shared" si="8"/>
        <v>2421.6699999999992</v>
      </c>
    </row>
    <row r="522" spans="1:15" x14ac:dyDescent="0.35">
      <c r="A522">
        <v>1016</v>
      </c>
      <c r="B522" s="1">
        <v>45141</v>
      </c>
      <c r="C522" t="s">
        <v>42</v>
      </c>
      <c r="D522" t="s">
        <v>21</v>
      </c>
      <c r="E522" s="4">
        <v>3080.36</v>
      </c>
      <c r="F522">
        <v>16</v>
      </c>
      <c r="G522" t="s">
        <v>16</v>
      </c>
      <c r="H522" s="4">
        <v>4457.68</v>
      </c>
      <c r="I522" s="4">
        <v>4743.03</v>
      </c>
      <c r="J522" t="s">
        <v>17</v>
      </c>
      <c r="K522" s="2">
        <v>0.19</v>
      </c>
      <c r="L522" t="s">
        <v>18</v>
      </c>
      <c r="M522" t="s">
        <v>19</v>
      </c>
      <c r="N522" t="s">
        <v>51</v>
      </c>
      <c r="O522" s="5">
        <f t="shared" si="8"/>
        <v>4565.5999999999913</v>
      </c>
    </row>
    <row r="523" spans="1:15" x14ac:dyDescent="0.35">
      <c r="A523">
        <v>1090</v>
      </c>
      <c r="B523" s="1">
        <v>45124</v>
      </c>
      <c r="C523" t="s">
        <v>24</v>
      </c>
      <c r="D523" t="s">
        <v>15</v>
      </c>
      <c r="E523" s="4">
        <v>5076.05</v>
      </c>
      <c r="F523">
        <v>14</v>
      </c>
      <c r="G523" t="s">
        <v>35</v>
      </c>
      <c r="H523" s="4">
        <v>1350.47</v>
      </c>
      <c r="I523" s="4">
        <v>1514.61</v>
      </c>
      <c r="J523" t="s">
        <v>30</v>
      </c>
      <c r="K523" s="2">
        <v>0.2</v>
      </c>
      <c r="L523" t="s">
        <v>31</v>
      </c>
      <c r="M523" t="s">
        <v>22</v>
      </c>
      <c r="N523" t="s">
        <v>45</v>
      </c>
      <c r="O523" s="5">
        <f t="shared" si="8"/>
        <v>2297.9599999999982</v>
      </c>
    </row>
    <row r="524" spans="1:15" x14ac:dyDescent="0.35">
      <c r="A524">
        <v>1090</v>
      </c>
      <c r="B524" s="1">
        <v>45126</v>
      </c>
      <c r="C524" t="s">
        <v>33</v>
      </c>
      <c r="D524" t="s">
        <v>21</v>
      </c>
      <c r="E524" s="4">
        <v>656.14</v>
      </c>
      <c r="F524">
        <v>10</v>
      </c>
      <c r="G524" t="s">
        <v>16</v>
      </c>
      <c r="H524" s="4">
        <v>2387.63</v>
      </c>
      <c r="I524" s="4">
        <v>2438.9699999999998</v>
      </c>
      <c r="J524" t="s">
        <v>17</v>
      </c>
      <c r="K524" s="2">
        <v>0.02</v>
      </c>
      <c r="L524" t="s">
        <v>27</v>
      </c>
      <c r="M524" t="s">
        <v>22</v>
      </c>
      <c r="N524" t="s">
        <v>37</v>
      </c>
      <c r="O524" s="5">
        <f t="shared" si="8"/>
        <v>513.39999999999691</v>
      </c>
    </row>
    <row r="525" spans="1:15" x14ac:dyDescent="0.35">
      <c r="A525">
        <v>1048</v>
      </c>
      <c r="B525" s="1">
        <v>44951</v>
      </c>
      <c r="C525" t="s">
        <v>38</v>
      </c>
      <c r="D525" t="s">
        <v>25</v>
      </c>
      <c r="E525" s="4">
        <v>4961.8500000000004</v>
      </c>
      <c r="F525">
        <v>7</v>
      </c>
      <c r="G525" t="s">
        <v>35</v>
      </c>
      <c r="H525" s="4">
        <v>1655.43</v>
      </c>
      <c r="I525" s="4">
        <v>2001.08</v>
      </c>
      <c r="J525" t="s">
        <v>30</v>
      </c>
      <c r="K525" s="2">
        <v>0.19</v>
      </c>
      <c r="L525" t="s">
        <v>27</v>
      </c>
      <c r="M525" t="s">
        <v>19</v>
      </c>
      <c r="N525" t="s">
        <v>39</v>
      </c>
      <c r="O525" s="5">
        <f t="shared" si="8"/>
        <v>2419.5499999999993</v>
      </c>
    </row>
    <row r="526" spans="1:15" x14ac:dyDescent="0.35">
      <c r="A526">
        <v>1085</v>
      </c>
      <c r="B526" s="1">
        <v>45015</v>
      </c>
      <c r="C526" t="s">
        <v>24</v>
      </c>
      <c r="D526" t="s">
        <v>21</v>
      </c>
      <c r="E526" s="4">
        <v>9278.4</v>
      </c>
      <c r="F526">
        <v>45</v>
      </c>
      <c r="G526" t="s">
        <v>29</v>
      </c>
      <c r="H526" s="4">
        <v>4763.1099999999997</v>
      </c>
      <c r="I526" s="4">
        <v>5119.91</v>
      </c>
      <c r="J526" t="s">
        <v>17</v>
      </c>
      <c r="K526" s="2">
        <v>0.28999999999999998</v>
      </c>
      <c r="L526" t="s">
        <v>18</v>
      </c>
      <c r="M526" t="s">
        <v>22</v>
      </c>
      <c r="N526" t="s">
        <v>47</v>
      </c>
      <c r="O526" s="5">
        <f t="shared" si="8"/>
        <v>16056.000000000007</v>
      </c>
    </row>
    <row r="527" spans="1:15" x14ac:dyDescent="0.35">
      <c r="A527">
        <v>1039</v>
      </c>
      <c r="B527" s="1">
        <v>45194</v>
      </c>
      <c r="C527" t="s">
        <v>38</v>
      </c>
      <c r="D527" t="s">
        <v>21</v>
      </c>
      <c r="E527" s="4">
        <v>1143.3900000000001</v>
      </c>
      <c r="F527">
        <v>37</v>
      </c>
      <c r="G527" t="s">
        <v>35</v>
      </c>
      <c r="H527" s="4">
        <v>4127.05</v>
      </c>
      <c r="I527" s="4">
        <v>4313.45</v>
      </c>
      <c r="J527" t="s">
        <v>30</v>
      </c>
      <c r="K527" s="2">
        <v>0.16</v>
      </c>
      <c r="L527" t="s">
        <v>18</v>
      </c>
      <c r="M527" t="s">
        <v>19</v>
      </c>
      <c r="N527" t="s">
        <v>41</v>
      </c>
      <c r="O527" s="5">
        <f t="shared" si="8"/>
        <v>6896.7999999999865</v>
      </c>
    </row>
    <row r="528" spans="1:15" x14ac:dyDescent="0.35">
      <c r="A528">
        <v>1100</v>
      </c>
      <c r="B528" s="1">
        <v>45069</v>
      </c>
      <c r="C528" t="s">
        <v>14</v>
      </c>
      <c r="D528" t="s">
        <v>21</v>
      </c>
      <c r="E528" s="4">
        <v>7667.96</v>
      </c>
      <c r="F528">
        <v>29</v>
      </c>
      <c r="G528" t="s">
        <v>26</v>
      </c>
      <c r="H528" s="4">
        <v>3559.56</v>
      </c>
      <c r="I528" s="4">
        <v>3607.15</v>
      </c>
      <c r="J528" t="s">
        <v>17</v>
      </c>
      <c r="K528" s="2">
        <v>0.21</v>
      </c>
      <c r="L528" t="s">
        <v>18</v>
      </c>
      <c r="M528" t="s">
        <v>22</v>
      </c>
      <c r="N528" t="s">
        <v>23</v>
      </c>
      <c r="O528" s="5">
        <f t="shared" si="8"/>
        <v>1380.1100000000042</v>
      </c>
    </row>
    <row r="529" spans="1:15" x14ac:dyDescent="0.35">
      <c r="A529">
        <v>1033</v>
      </c>
      <c r="B529" s="1">
        <v>44985</v>
      </c>
      <c r="C529" t="s">
        <v>24</v>
      </c>
      <c r="D529" t="s">
        <v>21</v>
      </c>
      <c r="E529" s="4">
        <v>4155.74</v>
      </c>
      <c r="F529">
        <v>3</v>
      </c>
      <c r="G529" t="s">
        <v>29</v>
      </c>
      <c r="H529" s="4">
        <v>2958.75</v>
      </c>
      <c r="I529" s="4">
        <v>3177.64</v>
      </c>
      <c r="J529" t="s">
        <v>17</v>
      </c>
      <c r="K529" s="2">
        <v>0.17</v>
      </c>
      <c r="L529" t="s">
        <v>18</v>
      </c>
      <c r="M529" t="s">
        <v>19</v>
      </c>
      <c r="N529" t="s">
        <v>47</v>
      </c>
      <c r="O529" s="5">
        <f t="shared" si="8"/>
        <v>656.66999999999962</v>
      </c>
    </row>
    <row r="530" spans="1:15" x14ac:dyDescent="0.35">
      <c r="A530">
        <v>1094</v>
      </c>
      <c r="B530" s="1">
        <v>45291</v>
      </c>
      <c r="C530" t="s">
        <v>14</v>
      </c>
      <c r="D530" t="s">
        <v>25</v>
      </c>
      <c r="E530" s="4">
        <v>6586.22</v>
      </c>
      <c r="F530">
        <v>15</v>
      </c>
      <c r="G530" t="s">
        <v>26</v>
      </c>
      <c r="H530" s="4">
        <v>4111.93</v>
      </c>
      <c r="I530" s="4">
        <v>4338.67</v>
      </c>
      <c r="J530" t="s">
        <v>17</v>
      </c>
      <c r="K530" s="2">
        <v>0.26</v>
      </c>
      <c r="L530" t="s">
        <v>31</v>
      </c>
      <c r="M530" t="s">
        <v>19</v>
      </c>
      <c r="N530" t="s">
        <v>32</v>
      </c>
      <c r="O530" s="5">
        <f t="shared" si="8"/>
        <v>3401.0999999999967</v>
      </c>
    </row>
    <row r="531" spans="1:15" x14ac:dyDescent="0.35">
      <c r="A531">
        <v>1023</v>
      </c>
      <c r="B531" s="1">
        <v>44952</v>
      </c>
      <c r="C531" t="s">
        <v>24</v>
      </c>
      <c r="D531" t="s">
        <v>15</v>
      </c>
      <c r="E531" s="4">
        <v>2676.34</v>
      </c>
      <c r="F531">
        <v>36</v>
      </c>
      <c r="G531" t="s">
        <v>29</v>
      </c>
      <c r="H531" s="4">
        <v>1991.72</v>
      </c>
      <c r="I531" s="4">
        <v>2329.37</v>
      </c>
      <c r="J531" t="s">
        <v>30</v>
      </c>
      <c r="K531" s="2">
        <v>0.28000000000000003</v>
      </c>
      <c r="L531" t="s">
        <v>31</v>
      </c>
      <c r="M531" t="s">
        <v>22</v>
      </c>
      <c r="N531" t="s">
        <v>45</v>
      </c>
      <c r="O531" s="5">
        <f t="shared" si="8"/>
        <v>12155.399999999994</v>
      </c>
    </row>
    <row r="532" spans="1:15" x14ac:dyDescent="0.35">
      <c r="A532">
        <v>1010</v>
      </c>
      <c r="B532" s="1">
        <v>44973</v>
      </c>
      <c r="C532" t="s">
        <v>24</v>
      </c>
      <c r="D532" t="s">
        <v>34</v>
      </c>
      <c r="E532" s="4">
        <v>1678.97</v>
      </c>
      <c r="F532">
        <v>47</v>
      </c>
      <c r="G532" t="s">
        <v>16</v>
      </c>
      <c r="H532" s="4">
        <v>2265.38</v>
      </c>
      <c r="I532" s="4">
        <v>2429.9299999999998</v>
      </c>
      <c r="J532" t="s">
        <v>17</v>
      </c>
      <c r="K532" s="2">
        <v>0.06</v>
      </c>
      <c r="L532" t="s">
        <v>27</v>
      </c>
      <c r="M532" t="s">
        <v>19</v>
      </c>
      <c r="N532" t="s">
        <v>50</v>
      </c>
      <c r="O532" s="5">
        <f t="shared" si="8"/>
        <v>7733.8499999999876</v>
      </c>
    </row>
    <row r="533" spans="1:15" x14ac:dyDescent="0.35">
      <c r="A533">
        <v>1069</v>
      </c>
      <c r="B533" s="1">
        <v>45214</v>
      </c>
      <c r="C533" t="s">
        <v>14</v>
      </c>
      <c r="D533" t="s">
        <v>21</v>
      </c>
      <c r="E533" s="4">
        <v>1688.58</v>
      </c>
      <c r="F533">
        <v>46</v>
      </c>
      <c r="G533" t="s">
        <v>26</v>
      </c>
      <c r="H533" s="4">
        <v>3663.51</v>
      </c>
      <c r="I533" s="4">
        <v>4007.98</v>
      </c>
      <c r="J533" t="s">
        <v>30</v>
      </c>
      <c r="K533" s="2">
        <v>0.13</v>
      </c>
      <c r="L533" t="s">
        <v>18</v>
      </c>
      <c r="M533" t="s">
        <v>19</v>
      </c>
      <c r="N533" t="s">
        <v>23</v>
      </c>
      <c r="O533" s="5">
        <f t="shared" si="8"/>
        <v>15845.619999999992</v>
      </c>
    </row>
    <row r="534" spans="1:15" x14ac:dyDescent="0.35">
      <c r="A534">
        <v>1100</v>
      </c>
      <c r="B534" s="1">
        <v>45192</v>
      </c>
      <c r="C534" t="s">
        <v>33</v>
      </c>
      <c r="D534" t="s">
        <v>15</v>
      </c>
      <c r="E534" s="4">
        <v>797.87</v>
      </c>
      <c r="F534">
        <v>19</v>
      </c>
      <c r="G534" t="s">
        <v>35</v>
      </c>
      <c r="H534" s="4">
        <v>1820.89</v>
      </c>
      <c r="I534" s="4">
        <v>2257.92</v>
      </c>
      <c r="J534" t="s">
        <v>30</v>
      </c>
      <c r="K534" s="2">
        <v>0.12</v>
      </c>
      <c r="L534" t="s">
        <v>18</v>
      </c>
      <c r="M534" t="s">
        <v>22</v>
      </c>
      <c r="N534" t="s">
        <v>53</v>
      </c>
      <c r="O534" s="5">
        <f t="shared" si="8"/>
        <v>8303.57</v>
      </c>
    </row>
    <row r="535" spans="1:15" x14ac:dyDescent="0.35">
      <c r="A535">
        <v>1034</v>
      </c>
      <c r="B535" s="1">
        <v>44942</v>
      </c>
      <c r="C535" t="s">
        <v>42</v>
      </c>
      <c r="D535" t="s">
        <v>15</v>
      </c>
      <c r="E535" s="4">
        <v>1937.9</v>
      </c>
      <c r="F535">
        <v>13</v>
      </c>
      <c r="G535" t="s">
        <v>16</v>
      </c>
      <c r="H535" s="4">
        <v>366.31</v>
      </c>
      <c r="I535" s="4">
        <v>492.68</v>
      </c>
      <c r="J535" t="s">
        <v>30</v>
      </c>
      <c r="K535" s="2">
        <v>0.12</v>
      </c>
      <c r="L535" t="s">
        <v>31</v>
      </c>
      <c r="M535" t="s">
        <v>22</v>
      </c>
      <c r="N535" t="s">
        <v>49</v>
      </c>
      <c r="O535" s="5">
        <f t="shared" si="8"/>
        <v>1642.81</v>
      </c>
    </row>
    <row r="536" spans="1:15" x14ac:dyDescent="0.35">
      <c r="A536">
        <v>1052</v>
      </c>
      <c r="B536" s="1">
        <v>45125</v>
      </c>
      <c r="C536" t="s">
        <v>38</v>
      </c>
      <c r="D536" t="s">
        <v>25</v>
      </c>
      <c r="E536" s="4">
        <v>6675.77</v>
      </c>
      <c r="F536">
        <v>42</v>
      </c>
      <c r="G536" t="s">
        <v>35</v>
      </c>
      <c r="H536" s="4">
        <v>417.96</v>
      </c>
      <c r="I536" s="4">
        <v>907.63</v>
      </c>
      <c r="J536" t="s">
        <v>30</v>
      </c>
      <c r="K536" s="2">
        <v>0.04</v>
      </c>
      <c r="L536" t="s">
        <v>18</v>
      </c>
      <c r="M536" t="s">
        <v>22</v>
      </c>
      <c r="N536" t="s">
        <v>39</v>
      </c>
      <c r="O536" s="5">
        <f t="shared" si="8"/>
        <v>20566.14</v>
      </c>
    </row>
    <row r="537" spans="1:15" x14ac:dyDescent="0.35">
      <c r="A537">
        <v>1095</v>
      </c>
      <c r="B537" s="1">
        <v>45208</v>
      </c>
      <c r="C537" t="s">
        <v>24</v>
      </c>
      <c r="D537" t="s">
        <v>15</v>
      </c>
      <c r="E537" s="4">
        <v>8828.74</v>
      </c>
      <c r="F537">
        <v>21</v>
      </c>
      <c r="G537" t="s">
        <v>29</v>
      </c>
      <c r="H537" s="4">
        <v>621.04999999999995</v>
      </c>
      <c r="I537" s="4">
        <v>820.36999999999898</v>
      </c>
      <c r="J537" t="s">
        <v>17</v>
      </c>
      <c r="K537" s="2">
        <v>0.24</v>
      </c>
      <c r="L537" t="s">
        <v>27</v>
      </c>
      <c r="M537" t="s">
        <v>19</v>
      </c>
      <c r="N537" t="s">
        <v>45</v>
      </c>
      <c r="O537" s="5">
        <f t="shared" si="8"/>
        <v>4185.7199999999793</v>
      </c>
    </row>
    <row r="538" spans="1:15" x14ac:dyDescent="0.35">
      <c r="A538">
        <v>1010</v>
      </c>
      <c r="B538" s="1">
        <v>45012</v>
      </c>
      <c r="C538" t="s">
        <v>38</v>
      </c>
      <c r="D538" t="s">
        <v>25</v>
      </c>
      <c r="E538" s="4">
        <v>8159.84</v>
      </c>
      <c r="F538">
        <v>37</v>
      </c>
      <c r="G538" t="s">
        <v>29</v>
      </c>
      <c r="H538" s="4">
        <v>4354.92</v>
      </c>
      <c r="I538" s="4">
        <v>4495.88</v>
      </c>
      <c r="J538" t="s">
        <v>17</v>
      </c>
      <c r="K538" s="2">
        <v>0.01</v>
      </c>
      <c r="L538" t="s">
        <v>27</v>
      </c>
      <c r="M538" t="s">
        <v>19</v>
      </c>
      <c r="N538" t="s">
        <v>39</v>
      </c>
      <c r="O538" s="5">
        <f t="shared" si="8"/>
        <v>5215.5200000000013</v>
      </c>
    </row>
    <row r="539" spans="1:15" x14ac:dyDescent="0.35">
      <c r="A539">
        <v>1019</v>
      </c>
      <c r="B539" s="1">
        <v>45176</v>
      </c>
      <c r="C539" t="s">
        <v>14</v>
      </c>
      <c r="D539" t="s">
        <v>21</v>
      </c>
      <c r="E539" s="4">
        <v>6882.83</v>
      </c>
      <c r="F539">
        <v>27</v>
      </c>
      <c r="G539" t="s">
        <v>35</v>
      </c>
      <c r="H539" s="4">
        <v>2387.52</v>
      </c>
      <c r="I539" s="4">
        <v>2604.06</v>
      </c>
      <c r="J539" t="s">
        <v>17</v>
      </c>
      <c r="K539" s="2">
        <v>0.16</v>
      </c>
      <c r="L539" t="s">
        <v>18</v>
      </c>
      <c r="M539" t="s">
        <v>19</v>
      </c>
      <c r="N539" t="s">
        <v>23</v>
      </c>
      <c r="O539" s="5">
        <f t="shared" si="8"/>
        <v>5846.579999999999</v>
      </c>
    </row>
    <row r="540" spans="1:15" x14ac:dyDescent="0.35">
      <c r="A540">
        <v>1058</v>
      </c>
      <c r="B540" s="1">
        <v>45196</v>
      </c>
      <c r="C540" t="s">
        <v>38</v>
      </c>
      <c r="D540" t="s">
        <v>21</v>
      </c>
      <c r="E540" s="4">
        <v>1193.28</v>
      </c>
      <c r="F540">
        <v>29</v>
      </c>
      <c r="G540" t="s">
        <v>35</v>
      </c>
      <c r="H540" s="4">
        <v>3578.77</v>
      </c>
      <c r="I540" s="4">
        <v>3635.02</v>
      </c>
      <c r="J540" t="s">
        <v>30</v>
      </c>
      <c r="K540" s="2">
        <v>0.2</v>
      </c>
      <c r="L540" t="s">
        <v>27</v>
      </c>
      <c r="M540" t="s">
        <v>22</v>
      </c>
      <c r="N540" t="s">
        <v>41</v>
      </c>
      <c r="O540" s="5">
        <f t="shared" si="8"/>
        <v>1631.25</v>
      </c>
    </row>
    <row r="541" spans="1:15" x14ac:dyDescent="0.35">
      <c r="A541">
        <v>1096</v>
      </c>
      <c r="B541" s="1">
        <v>45261</v>
      </c>
      <c r="C541" t="s">
        <v>14</v>
      </c>
      <c r="D541" t="s">
        <v>34</v>
      </c>
      <c r="E541" s="4">
        <v>2962.96</v>
      </c>
      <c r="F541">
        <v>20</v>
      </c>
      <c r="G541" t="s">
        <v>16</v>
      </c>
      <c r="H541" s="4">
        <v>1994.9</v>
      </c>
      <c r="I541" s="4">
        <v>2066.5</v>
      </c>
      <c r="J541" t="s">
        <v>17</v>
      </c>
      <c r="K541" s="2">
        <v>0.06</v>
      </c>
      <c r="L541" t="s">
        <v>27</v>
      </c>
      <c r="M541" t="s">
        <v>19</v>
      </c>
      <c r="N541" t="s">
        <v>46</v>
      </c>
      <c r="O541" s="5">
        <f t="shared" si="8"/>
        <v>1431.9999999999982</v>
      </c>
    </row>
    <row r="542" spans="1:15" x14ac:dyDescent="0.35">
      <c r="A542">
        <v>1001</v>
      </c>
      <c r="B542" s="1">
        <v>45043</v>
      </c>
      <c r="C542" t="s">
        <v>38</v>
      </c>
      <c r="D542" t="s">
        <v>34</v>
      </c>
      <c r="E542" s="4">
        <v>3167.09</v>
      </c>
      <c r="F542">
        <v>25</v>
      </c>
      <c r="G542" t="s">
        <v>35</v>
      </c>
      <c r="H542" s="4">
        <v>1330.62</v>
      </c>
      <c r="I542" s="4">
        <v>1543.6899999999901</v>
      </c>
      <c r="J542" t="s">
        <v>30</v>
      </c>
      <c r="K542" s="2">
        <v>0.27</v>
      </c>
      <c r="L542" t="s">
        <v>31</v>
      </c>
      <c r="M542" t="s">
        <v>19</v>
      </c>
      <c r="N542" t="s">
        <v>48</v>
      </c>
      <c r="O542" s="5">
        <f t="shared" si="8"/>
        <v>5326.7499999997544</v>
      </c>
    </row>
    <row r="543" spans="1:15" x14ac:dyDescent="0.35">
      <c r="A543">
        <v>1069</v>
      </c>
      <c r="B543" s="1">
        <v>44933</v>
      </c>
      <c r="C543" t="s">
        <v>42</v>
      </c>
      <c r="D543" t="s">
        <v>34</v>
      </c>
      <c r="E543" s="4">
        <v>2574.5700000000002</v>
      </c>
      <c r="F543">
        <v>6</v>
      </c>
      <c r="G543" t="s">
        <v>26</v>
      </c>
      <c r="H543" s="4">
        <v>1768.6</v>
      </c>
      <c r="I543" s="4">
        <v>2152.1999999999998</v>
      </c>
      <c r="J543" t="s">
        <v>30</v>
      </c>
      <c r="K543" s="2">
        <v>0.25</v>
      </c>
      <c r="L543" t="s">
        <v>27</v>
      </c>
      <c r="M543" t="s">
        <v>22</v>
      </c>
      <c r="N543" t="s">
        <v>52</v>
      </c>
      <c r="O543" s="5">
        <f t="shared" si="8"/>
        <v>2301.5999999999995</v>
      </c>
    </row>
    <row r="544" spans="1:15" x14ac:dyDescent="0.35">
      <c r="A544">
        <v>1004</v>
      </c>
      <c r="B544" s="1">
        <v>45063</v>
      </c>
      <c r="C544" t="s">
        <v>42</v>
      </c>
      <c r="D544" t="s">
        <v>15</v>
      </c>
      <c r="E544" s="4">
        <v>5198.5600000000004</v>
      </c>
      <c r="F544">
        <v>36</v>
      </c>
      <c r="G544" t="s">
        <v>26</v>
      </c>
      <c r="H544" s="4">
        <v>3981.2</v>
      </c>
      <c r="I544" s="4">
        <v>4432.3499999999904</v>
      </c>
      <c r="J544" t="s">
        <v>30</v>
      </c>
      <c r="K544" s="2">
        <v>0.14000000000000001</v>
      </c>
      <c r="L544" t="s">
        <v>18</v>
      </c>
      <c r="M544" t="s">
        <v>19</v>
      </c>
      <c r="N544" t="s">
        <v>49</v>
      </c>
      <c r="O544" s="5">
        <f t="shared" si="8"/>
        <v>16241.399999999659</v>
      </c>
    </row>
    <row r="545" spans="1:15" x14ac:dyDescent="0.35">
      <c r="A545">
        <v>1016</v>
      </c>
      <c r="B545" s="1">
        <v>45102</v>
      </c>
      <c r="C545" t="s">
        <v>42</v>
      </c>
      <c r="D545" t="s">
        <v>21</v>
      </c>
      <c r="E545" s="4">
        <v>5401.98</v>
      </c>
      <c r="F545">
        <v>2</v>
      </c>
      <c r="G545" t="s">
        <v>35</v>
      </c>
      <c r="H545" s="4">
        <v>3144.82</v>
      </c>
      <c r="I545" s="4">
        <v>3480.58</v>
      </c>
      <c r="J545" t="s">
        <v>17</v>
      </c>
      <c r="K545" s="2">
        <v>0.12</v>
      </c>
      <c r="L545" t="s">
        <v>18</v>
      </c>
      <c r="M545" t="s">
        <v>22</v>
      </c>
      <c r="N545" t="s">
        <v>51</v>
      </c>
      <c r="O545" s="5">
        <f t="shared" si="8"/>
        <v>671.51999999999953</v>
      </c>
    </row>
    <row r="546" spans="1:15" x14ac:dyDescent="0.35">
      <c r="A546">
        <v>1024</v>
      </c>
      <c r="B546" s="1">
        <v>45254</v>
      </c>
      <c r="C546" t="s">
        <v>42</v>
      </c>
      <c r="D546" t="s">
        <v>25</v>
      </c>
      <c r="E546" s="4">
        <v>3633.17</v>
      </c>
      <c r="F546">
        <v>22</v>
      </c>
      <c r="G546" t="s">
        <v>26</v>
      </c>
      <c r="H546" s="4">
        <v>4691.32</v>
      </c>
      <c r="I546" s="4">
        <v>4752.88</v>
      </c>
      <c r="J546" t="s">
        <v>17</v>
      </c>
      <c r="K546" s="2">
        <v>7.0000000000000007E-2</v>
      </c>
      <c r="L546" t="s">
        <v>27</v>
      </c>
      <c r="M546" t="s">
        <v>22</v>
      </c>
      <c r="N546" t="s">
        <v>43</v>
      </c>
      <c r="O546" s="5">
        <f t="shared" si="8"/>
        <v>1354.3200000000088</v>
      </c>
    </row>
    <row r="547" spans="1:15" x14ac:dyDescent="0.35">
      <c r="A547">
        <v>1080</v>
      </c>
      <c r="B547" s="1">
        <v>45241</v>
      </c>
      <c r="C547" t="s">
        <v>42</v>
      </c>
      <c r="D547" t="s">
        <v>34</v>
      </c>
      <c r="E547" s="4">
        <v>3602.51</v>
      </c>
      <c r="F547">
        <v>32</v>
      </c>
      <c r="G547" t="s">
        <v>35</v>
      </c>
      <c r="H547" s="4">
        <v>3414.54</v>
      </c>
      <c r="I547" s="4">
        <v>3753.83</v>
      </c>
      <c r="J547" t="s">
        <v>30</v>
      </c>
      <c r="K547" s="2">
        <v>0.22</v>
      </c>
      <c r="L547" t="s">
        <v>18</v>
      </c>
      <c r="M547" t="s">
        <v>22</v>
      </c>
      <c r="N547" t="s">
        <v>52</v>
      </c>
      <c r="O547" s="5">
        <f t="shared" si="8"/>
        <v>10857.279999999999</v>
      </c>
    </row>
    <row r="548" spans="1:15" x14ac:dyDescent="0.35">
      <c r="A548">
        <v>1002</v>
      </c>
      <c r="B548" s="1">
        <v>45141</v>
      </c>
      <c r="C548" t="s">
        <v>42</v>
      </c>
      <c r="D548" t="s">
        <v>25</v>
      </c>
      <c r="E548" s="4">
        <v>8302.7000000000007</v>
      </c>
      <c r="F548">
        <v>16</v>
      </c>
      <c r="G548" t="s">
        <v>16</v>
      </c>
      <c r="H548" s="4">
        <v>2872.4</v>
      </c>
      <c r="I548" s="4">
        <v>3193.76</v>
      </c>
      <c r="J548" t="s">
        <v>17</v>
      </c>
      <c r="K548" s="2">
        <v>0.04</v>
      </c>
      <c r="L548" t="s">
        <v>31</v>
      </c>
      <c r="M548" t="s">
        <v>19</v>
      </c>
      <c r="N548" t="s">
        <v>43</v>
      </c>
      <c r="O548" s="5">
        <f t="shared" si="8"/>
        <v>5141.760000000002</v>
      </c>
    </row>
    <row r="549" spans="1:15" x14ac:dyDescent="0.35">
      <c r="A549">
        <v>1092</v>
      </c>
      <c r="B549" s="1">
        <v>45008</v>
      </c>
      <c r="C549" t="s">
        <v>14</v>
      </c>
      <c r="D549" t="s">
        <v>25</v>
      </c>
      <c r="E549" s="4">
        <v>7914</v>
      </c>
      <c r="F549">
        <v>18</v>
      </c>
      <c r="G549" t="s">
        <v>26</v>
      </c>
      <c r="H549" s="4">
        <v>3070.47</v>
      </c>
      <c r="I549" s="4">
        <v>3475.29</v>
      </c>
      <c r="J549" t="s">
        <v>17</v>
      </c>
      <c r="K549" s="2">
        <v>0.2</v>
      </c>
      <c r="L549" t="s">
        <v>27</v>
      </c>
      <c r="M549" t="s">
        <v>19</v>
      </c>
      <c r="N549" t="s">
        <v>32</v>
      </c>
      <c r="O549" s="5">
        <f t="shared" si="8"/>
        <v>7286.7600000000029</v>
      </c>
    </row>
    <row r="550" spans="1:15" x14ac:dyDescent="0.35">
      <c r="A550">
        <v>1032</v>
      </c>
      <c r="B550" s="1">
        <v>45149</v>
      </c>
      <c r="C550" t="s">
        <v>24</v>
      </c>
      <c r="D550" t="s">
        <v>34</v>
      </c>
      <c r="E550" s="4">
        <v>3147.18</v>
      </c>
      <c r="F550">
        <v>5</v>
      </c>
      <c r="G550" t="s">
        <v>26</v>
      </c>
      <c r="H550" s="4">
        <v>4714.74</v>
      </c>
      <c r="I550" s="4">
        <v>5129.1099999999997</v>
      </c>
      <c r="J550" t="s">
        <v>30</v>
      </c>
      <c r="K550" s="2">
        <v>0.25</v>
      </c>
      <c r="L550" t="s">
        <v>27</v>
      </c>
      <c r="M550" t="s">
        <v>19</v>
      </c>
      <c r="N550" t="s">
        <v>50</v>
      </c>
      <c r="O550" s="5">
        <f t="shared" si="8"/>
        <v>2071.8499999999995</v>
      </c>
    </row>
    <row r="551" spans="1:15" x14ac:dyDescent="0.35">
      <c r="A551">
        <v>1091</v>
      </c>
      <c r="B551" s="1">
        <v>45029</v>
      </c>
      <c r="C551" t="s">
        <v>38</v>
      </c>
      <c r="D551" t="s">
        <v>21</v>
      </c>
      <c r="E551" s="4">
        <v>9146.51</v>
      </c>
      <c r="F551">
        <v>36</v>
      </c>
      <c r="G551" t="s">
        <v>35</v>
      </c>
      <c r="H551" s="4">
        <v>3951.59</v>
      </c>
      <c r="I551" s="4">
        <v>4387.01</v>
      </c>
      <c r="J551" t="s">
        <v>30</v>
      </c>
      <c r="K551" s="2">
        <v>7.0000000000000007E-2</v>
      </c>
      <c r="L551" t="s">
        <v>27</v>
      </c>
      <c r="M551" t="s">
        <v>22</v>
      </c>
      <c r="N551" t="s">
        <v>41</v>
      </c>
      <c r="O551" s="5">
        <f t="shared" si="8"/>
        <v>15675.120000000003</v>
      </c>
    </row>
    <row r="552" spans="1:15" x14ac:dyDescent="0.35">
      <c r="A552">
        <v>1084</v>
      </c>
      <c r="B552" s="1">
        <v>45199</v>
      </c>
      <c r="C552" t="s">
        <v>42</v>
      </c>
      <c r="D552" t="s">
        <v>34</v>
      </c>
      <c r="E552" s="4">
        <v>9532.8700000000008</v>
      </c>
      <c r="F552">
        <v>30</v>
      </c>
      <c r="G552" t="s">
        <v>26</v>
      </c>
      <c r="H552" s="4">
        <v>169</v>
      </c>
      <c r="I552" s="4">
        <v>381.91999999999899</v>
      </c>
      <c r="J552" t="s">
        <v>17</v>
      </c>
      <c r="K552" s="2">
        <v>0.26</v>
      </c>
      <c r="L552" t="s">
        <v>18</v>
      </c>
      <c r="M552" t="s">
        <v>22</v>
      </c>
      <c r="N552" t="s">
        <v>52</v>
      </c>
      <c r="O552" s="5">
        <f t="shared" si="8"/>
        <v>6387.5999999999694</v>
      </c>
    </row>
    <row r="553" spans="1:15" x14ac:dyDescent="0.35">
      <c r="A553">
        <v>1024</v>
      </c>
      <c r="B553" s="1">
        <v>44940</v>
      </c>
      <c r="C553" t="s">
        <v>14</v>
      </c>
      <c r="D553" t="s">
        <v>25</v>
      </c>
      <c r="E553" s="4">
        <v>3334.75</v>
      </c>
      <c r="F553">
        <v>45</v>
      </c>
      <c r="G553" t="s">
        <v>29</v>
      </c>
      <c r="H553" s="4">
        <v>2693.99</v>
      </c>
      <c r="I553" s="4">
        <v>3045.9399999999901</v>
      </c>
      <c r="J553" t="s">
        <v>30</v>
      </c>
      <c r="K553" s="2">
        <v>0.01</v>
      </c>
      <c r="L553" t="s">
        <v>18</v>
      </c>
      <c r="M553" t="s">
        <v>22</v>
      </c>
      <c r="N553" t="s">
        <v>32</v>
      </c>
      <c r="O553" s="5">
        <f t="shared" si="8"/>
        <v>15837.749999999562</v>
      </c>
    </row>
    <row r="554" spans="1:15" x14ac:dyDescent="0.35">
      <c r="A554">
        <v>1012</v>
      </c>
      <c r="B554" s="1">
        <v>45085</v>
      </c>
      <c r="C554" t="s">
        <v>14</v>
      </c>
      <c r="D554" t="s">
        <v>34</v>
      </c>
      <c r="E554" s="4">
        <v>3608.81</v>
      </c>
      <c r="F554">
        <v>19</v>
      </c>
      <c r="G554" t="s">
        <v>16</v>
      </c>
      <c r="H554" s="4">
        <v>3457.28</v>
      </c>
      <c r="I554" s="4">
        <v>3598.72</v>
      </c>
      <c r="J554" t="s">
        <v>30</v>
      </c>
      <c r="K554" s="2">
        <v>0.27</v>
      </c>
      <c r="L554" t="s">
        <v>27</v>
      </c>
      <c r="M554" t="s">
        <v>19</v>
      </c>
      <c r="N554" t="s">
        <v>46</v>
      </c>
      <c r="O554" s="5">
        <f t="shared" si="8"/>
        <v>2687.3599999999924</v>
      </c>
    </row>
    <row r="555" spans="1:15" x14ac:dyDescent="0.35">
      <c r="A555">
        <v>1050</v>
      </c>
      <c r="B555" s="1">
        <v>45078</v>
      </c>
      <c r="C555" t="s">
        <v>14</v>
      </c>
      <c r="D555" t="s">
        <v>25</v>
      </c>
      <c r="E555" s="4">
        <v>5105.78</v>
      </c>
      <c r="F555">
        <v>23</v>
      </c>
      <c r="G555" t="s">
        <v>16</v>
      </c>
      <c r="H555" s="4">
        <v>3756.06</v>
      </c>
      <c r="I555" s="4">
        <v>4255.7299999999996</v>
      </c>
      <c r="J555" t="s">
        <v>17</v>
      </c>
      <c r="K555" s="2">
        <v>0.04</v>
      </c>
      <c r="L555" t="s">
        <v>18</v>
      </c>
      <c r="M555" t="s">
        <v>19</v>
      </c>
      <c r="N555" t="s">
        <v>32</v>
      </c>
      <c r="O555" s="5">
        <f t="shared" si="8"/>
        <v>11492.409999999991</v>
      </c>
    </row>
    <row r="556" spans="1:15" x14ac:dyDescent="0.35">
      <c r="A556">
        <v>1035</v>
      </c>
      <c r="B556" s="1">
        <v>45034</v>
      </c>
      <c r="C556" t="s">
        <v>24</v>
      </c>
      <c r="D556" t="s">
        <v>25</v>
      </c>
      <c r="E556" s="4">
        <v>9417.1</v>
      </c>
      <c r="F556">
        <v>34</v>
      </c>
      <c r="G556" t="s">
        <v>26</v>
      </c>
      <c r="H556" s="4">
        <v>1105.05</v>
      </c>
      <c r="I556" s="4">
        <v>1200.96</v>
      </c>
      <c r="J556" t="s">
        <v>17</v>
      </c>
      <c r="K556" s="2">
        <v>0.19</v>
      </c>
      <c r="L556" t="s">
        <v>18</v>
      </c>
      <c r="M556" t="s">
        <v>19</v>
      </c>
      <c r="N556" t="s">
        <v>28</v>
      </c>
      <c r="O556" s="5">
        <f t="shared" si="8"/>
        <v>3260.9400000000028</v>
      </c>
    </row>
    <row r="557" spans="1:15" x14ac:dyDescent="0.35">
      <c r="A557">
        <v>1033</v>
      </c>
      <c r="B557" s="1">
        <v>45114</v>
      </c>
      <c r="C557" t="s">
        <v>38</v>
      </c>
      <c r="D557" t="s">
        <v>34</v>
      </c>
      <c r="E557" s="4">
        <v>8775.56</v>
      </c>
      <c r="F557">
        <v>13</v>
      </c>
      <c r="G557" t="s">
        <v>26</v>
      </c>
      <c r="H557" s="4">
        <v>4342.53</v>
      </c>
      <c r="I557" s="4">
        <v>4357.49</v>
      </c>
      <c r="J557" t="s">
        <v>30</v>
      </c>
      <c r="K557" s="2">
        <v>0.08</v>
      </c>
      <c r="L557" t="s">
        <v>27</v>
      </c>
      <c r="M557" t="s">
        <v>19</v>
      </c>
      <c r="N557" t="s">
        <v>48</v>
      </c>
      <c r="O557" s="5">
        <f t="shared" si="8"/>
        <v>194.48000000000047</v>
      </c>
    </row>
    <row r="558" spans="1:15" x14ac:dyDescent="0.35">
      <c r="A558">
        <v>1033</v>
      </c>
      <c r="B558" s="1">
        <v>45227</v>
      </c>
      <c r="C558" t="s">
        <v>24</v>
      </c>
      <c r="D558" t="s">
        <v>15</v>
      </c>
      <c r="E558" s="4">
        <v>1115.42</v>
      </c>
      <c r="F558">
        <v>43</v>
      </c>
      <c r="G558" t="s">
        <v>29</v>
      </c>
      <c r="H558" s="4">
        <v>4781.42</v>
      </c>
      <c r="I558" s="4">
        <v>4864.34</v>
      </c>
      <c r="J558" t="s">
        <v>17</v>
      </c>
      <c r="K558" s="2">
        <v>0.25</v>
      </c>
      <c r="L558" t="s">
        <v>27</v>
      </c>
      <c r="M558" t="s">
        <v>19</v>
      </c>
      <c r="N558" t="s">
        <v>45</v>
      </c>
      <c r="O558" s="5">
        <f t="shared" si="8"/>
        <v>3565.5600000000031</v>
      </c>
    </row>
    <row r="559" spans="1:15" x14ac:dyDescent="0.35">
      <c r="A559">
        <v>1061</v>
      </c>
      <c r="B559" s="1">
        <v>45024</v>
      </c>
      <c r="C559" t="s">
        <v>33</v>
      </c>
      <c r="D559" t="s">
        <v>34</v>
      </c>
      <c r="E559" s="4">
        <v>3988.03</v>
      </c>
      <c r="F559">
        <v>29</v>
      </c>
      <c r="G559" t="s">
        <v>29</v>
      </c>
      <c r="H559" s="4">
        <v>1221.74</v>
      </c>
      <c r="I559" s="4">
        <v>1611.92</v>
      </c>
      <c r="J559" t="s">
        <v>30</v>
      </c>
      <c r="K559" s="2">
        <v>0.15</v>
      </c>
      <c r="L559" t="s">
        <v>18</v>
      </c>
      <c r="M559" t="s">
        <v>22</v>
      </c>
      <c r="N559" t="s">
        <v>36</v>
      </c>
      <c r="O559" s="5">
        <f t="shared" si="8"/>
        <v>11315.220000000001</v>
      </c>
    </row>
    <row r="560" spans="1:15" x14ac:dyDescent="0.35">
      <c r="A560">
        <v>1051</v>
      </c>
      <c r="B560" s="1">
        <v>45057</v>
      </c>
      <c r="C560" t="s">
        <v>14</v>
      </c>
      <c r="D560" t="s">
        <v>15</v>
      </c>
      <c r="E560" s="4">
        <v>5578.37</v>
      </c>
      <c r="F560">
        <v>36</v>
      </c>
      <c r="G560" t="s">
        <v>26</v>
      </c>
      <c r="H560" s="4">
        <v>4418.95</v>
      </c>
      <c r="I560" s="4">
        <v>4647.87</v>
      </c>
      <c r="J560" t="s">
        <v>30</v>
      </c>
      <c r="K560" s="2">
        <v>0.04</v>
      </c>
      <c r="L560" t="s">
        <v>27</v>
      </c>
      <c r="M560" t="s">
        <v>19</v>
      </c>
      <c r="N560" t="s">
        <v>20</v>
      </c>
      <c r="O560" s="5">
        <f t="shared" si="8"/>
        <v>8241.1200000000026</v>
      </c>
    </row>
    <row r="561" spans="1:15" x14ac:dyDescent="0.35">
      <c r="A561">
        <v>1043</v>
      </c>
      <c r="B561" s="1">
        <v>45219</v>
      </c>
      <c r="C561" t="s">
        <v>33</v>
      </c>
      <c r="D561" t="s">
        <v>25</v>
      </c>
      <c r="E561" s="4">
        <v>5081.01</v>
      </c>
      <c r="F561">
        <v>22</v>
      </c>
      <c r="G561" t="s">
        <v>26</v>
      </c>
      <c r="H561" s="4">
        <v>530.04</v>
      </c>
      <c r="I561" s="4">
        <v>759.31999999999903</v>
      </c>
      <c r="J561" t="s">
        <v>17</v>
      </c>
      <c r="K561" s="2">
        <v>0.17</v>
      </c>
      <c r="L561" t="s">
        <v>27</v>
      </c>
      <c r="M561" t="s">
        <v>22</v>
      </c>
      <c r="N561" t="s">
        <v>44</v>
      </c>
      <c r="O561" s="5">
        <f t="shared" si="8"/>
        <v>5044.1599999999798</v>
      </c>
    </row>
    <row r="562" spans="1:15" x14ac:dyDescent="0.35">
      <c r="A562">
        <v>1012</v>
      </c>
      <c r="B562" s="1">
        <v>45097</v>
      </c>
      <c r="C562" t="s">
        <v>42</v>
      </c>
      <c r="D562" t="s">
        <v>25</v>
      </c>
      <c r="E562" s="4">
        <v>2019.24</v>
      </c>
      <c r="F562">
        <v>47</v>
      </c>
      <c r="G562" t="s">
        <v>29</v>
      </c>
      <c r="H562" s="4">
        <v>325.75</v>
      </c>
      <c r="I562" s="4">
        <v>803.71</v>
      </c>
      <c r="J562" t="s">
        <v>30</v>
      </c>
      <c r="K562" s="2">
        <v>0.12</v>
      </c>
      <c r="L562" t="s">
        <v>27</v>
      </c>
      <c r="M562" t="s">
        <v>22</v>
      </c>
      <c r="N562" t="s">
        <v>43</v>
      </c>
      <c r="O562" s="5">
        <f t="shared" si="8"/>
        <v>22464.120000000003</v>
      </c>
    </row>
    <row r="563" spans="1:15" x14ac:dyDescent="0.35">
      <c r="A563">
        <v>1067</v>
      </c>
      <c r="B563" s="1">
        <v>45109</v>
      </c>
      <c r="C563" t="s">
        <v>42</v>
      </c>
      <c r="D563" t="s">
        <v>15</v>
      </c>
      <c r="E563" s="4">
        <v>8602.2900000000009</v>
      </c>
      <c r="F563">
        <v>36</v>
      </c>
      <c r="G563" t="s">
        <v>35</v>
      </c>
      <c r="H563" s="4">
        <v>689.66</v>
      </c>
      <c r="I563" s="4">
        <v>1150.28</v>
      </c>
      <c r="J563" t="s">
        <v>30</v>
      </c>
      <c r="K563" s="2">
        <v>0.2</v>
      </c>
      <c r="L563" t="s">
        <v>27</v>
      </c>
      <c r="M563" t="s">
        <v>19</v>
      </c>
      <c r="N563" t="s">
        <v>49</v>
      </c>
      <c r="O563" s="5">
        <f t="shared" si="8"/>
        <v>16582.32</v>
      </c>
    </row>
    <row r="564" spans="1:15" x14ac:dyDescent="0.35">
      <c r="A564">
        <v>1065</v>
      </c>
      <c r="B564" s="1">
        <v>45290</v>
      </c>
      <c r="C564" t="s">
        <v>24</v>
      </c>
      <c r="D564" t="s">
        <v>25</v>
      </c>
      <c r="E564" s="4">
        <v>6801.71</v>
      </c>
      <c r="F564">
        <v>9</v>
      </c>
      <c r="G564" t="s">
        <v>29</v>
      </c>
      <c r="H564" s="4">
        <v>335.82</v>
      </c>
      <c r="I564" s="4">
        <v>498.31</v>
      </c>
      <c r="J564" t="s">
        <v>30</v>
      </c>
      <c r="K564" s="2">
        <v>0.26</v>
      </c>
      <c r="L564" t="s">
        <v>18</v>
      </c>
      <c r="M564" t="s">
        <v>22</v>
      </c>
      <c r="N564" t="s">
        <v>28</v>
      </c>
      <c r="O564" s="5">
        <f t="shared" si="8"/>
        <v>1462.41</v>
      </c>
    </row>
    <row r="565" spans="1:15" x14ac:dyDescent="0.35">
      <c r="A565">
        <v>1033</v>
      </c>
      <c r="B565" s="1">
        <v>44965</v>
      </c>
      <c r="C565" t="s">
        <v>38</v>
      </c>
      <c r="D565" t="s">
        <v>15</v>
      </c>
      <c r="E565" s="4">
        <v>8395.2900000000009</v>
      </c>
      <c r="F565">
        <v>39</v>
      </c>
      <c r="G565" t="s">
        <v>35</v>
      </c>
      <c r="H565" s="4">
        <v>4232.8100000000004</v>
      </c>
      <c r="I565" s="4">
        <v>4345.25</v>
      </c>
      <c r="J565" t="s">
        <v>17</v>
      </c>
      <c r="K565" s="2">
        <v>0.12</v>
      </c>
      <c r="L565" t="s">
        <v>27</v>
      </c>
      <c r="M565" t="s">
        <v>19</v>
      </c>
      <c r="N565" t="s">
        <v>40</v>
      </c>
      <c r="O565" s="5">
        <f t="shared" si="8"/>
        <v>4385.1599999999844</v>
      </c>
    </row>
    <row r="566" spans="1:15" x14ac:dyDescent="0.35">
      <c r="A566">
        <v>1040</v>
      </c>
      <c r="B566" s="1">
        <v>44941</v>
      </c>
      <c r="C566" t="s">
        <v>33</v>
      </c>
      <c r="D566" t="s">
        <v>15</v>
      </c>
      <c r="E566" s="4">
        <v>8601.77</v>
      </c>
      <c r="F566">
        <v>19</v>
      </c>
      <c r="G566" t="s">
        <v>16</v>
      </c>
      <c r="H566" s="4">
        <v>342.3</v>
      </c>
      <c r="I566" s="4">
        <v>768.06</v>
      </c>
      <c r="J566" t="s">
        <v>17</v>
      </c>
      <c r="K566" s="2">
        <v>0.09</v>
      </c>
      <c r="L566" t="s">
        <v>31</v>
      </c>
      <c r="M566" t="s">
        <v>19</v>
      </c>
      <c r="N566" t="s">
        <v>53</v>
      </c>
      <c r="O566" s="5">
        <f t="shared" si="8"/>
        <v>8089.4399999999987</v>
      </c>
    </row>
    <row r="567" spans="1:15" x14ac:dyDescent="0.35">
      <c r="A567">
        <v>1074</v>
      </c>
      <c r="B567" s="1">
        <v>44930</v>
      </c>
      <c r="C567" t="s">
        <v>38</v>
      </c>
      <c r="D567" t="s">
        <v>25</v>
      </c>
      <c r="E567" s="4">
        <v>7508.72</v>
      </c>
      <c r="F567">
        <v>38</v>
      </c>
      <c r="G567" t="s">
        <v>16</v>
      </c>
      <c r="H567" s="4">
        <v>1394.74</v>
      </c>
      <c r="I567" s="4">
        <v>1848.69</v>
      </c>
      <c r="J567" t="s">
        <v>17</v>
      </c>
      <c r="K567" s="2">
        <v>0</v>
      </c>
      <c r="L567" t="s">
        <v>27</v>
      </c>
      <c r="M567" t="s">
        <v>22</v>
      </c>
      <c r="N567" t="s">
        <v>39</v>
      </c>
      <c r="O567" s="5">
        <f t="shared" si="8"/>
        <v>17250.100000000002</v>
      </c>
    </row>
    <row r="568" spans="1:15" x14ac:dyDescent="0.35">
      <c r="A568">
        <v>1043</v>
      </c>
      <c r="B568" s="1">
        <v>45275</v>
      </c>
      <c r="C568" t="s">
        <v>24</v>
      </c>
      <c r="D568" t="s">
        <v>21</v>
      </c>
      <c r="E568" s="4">
        <v>4448.18</v>
      </c>
      <c r="F568">
        <v>6</v>
      </c>
      <c r="G568" t="s">
        <v>29</v>
      </c>
      <c r="H568" s="4">
        <v>563.59</v>
      </c>
      <c r="I568" s="4">
        <v>838.97</v>
      </c>
      <c r="J568" t="s">
        <v>30</v>
      </c>
      <c r="K568" s="2">
        <v>0.17</v>
      </c>
      <c r="L568" t="s">
        <v>31</v>
      </c>
      <c r="M568" t="s">
        <v>19</v>
      </c>
      <c r="N568" t="s">
        <v>47</v>
      </c>
      <c r="O568" s="5">
        <f t="shared" si="8"/>
        <v>1652.28</v>
      </c>
    </row>
    <row r="569" spans="1:15" x14ac:dyDescent="0.35">
      <c r="A569">
        <v>1044</v>
      </c>
      <c r="B569" s="1">
        <v>45136</v>
      </c>
      <c r="C569" t="s">
        <v>42</v>
      </c>
      <c r="D569" t="s">
        <v>15</v>
      </c>
      <c r="E569" s="4">
        <v>6144.41</v>
      </c>
      <c r="F569">
        <v>47</v>
      </c>
      <c r="G569" t="s">
        <v>35</v>
      </c>
      <c r="H569" s="4">
        <v>1512.34</v>
      </c>
      <c r="I569" s="4">
        <v>1830.76</v>
      </c>
      <c r="J569" t="s">
        <v>30</v>
      </c>
      <c r="K569" s="2">
        <v>0.12</v>
      </c>
      <c r="L569" t="s">
        <v>27</v>
      </c>
      <c r="M569" t="s">
        <v>19</v>
      </c>
      <c r="N569" t="s">
        <v>49</v>
      </c>
      <c r="O569" s="5">
        <f t="shared" si="8"/>
        <v>14965.740000000003</v>
      </c>
    </row>
    <row r="570" spans="1:15" x14ac:dyDescent="0.35">
      <c r="A570">
        <v>1029</v>
      </c>
      <c r="B570" s="1">
        <v>45087</v>
      </c>
      <c r="C570" t="s">
        <v>38</v>
      </c>
      <c r="D570" t="s">
        <v>34</v>
      </c>
      <c r="E570" s="4">
        <v>1687.62</v>
      </c>
      <c r="F570">
        <v>15</v>
      </c>
      <c r="G570" t="s">
        <v>29</v>
      </c>
      <c r="H570" s="4">
        <v>498.27</v>
      </c>
      <c r="I570" s="4">
        <v>634.16</v>
      </c>
      <c r="J570" t="s">
        <v>17</v>
      </c>
      <c r="K570" s="2">
        <v>0.11</v>
      </c>
      <c r="L570" t="s">
        <v>31</v>
      </c>
      <c r="M570" t="s">
        <v>22</v>
      </c>
      <c r="N570" t="s">
        <v>48</v>
      </c>
      <c r="O570" s="5">
        <f t="shared" si="8"/>
        <v>2038.35</v>
      </c>
    </row>
    <row r="571" spans="1:15" x14ac:dyDescent="0.35">
      <c r="A571">
        <v>1013</v>
      </c>
      <c r="B571" s="1">
        <v>44942</v>
      </c>
      <c r="C571" t="s">
        <v>38</v>
      </c>
      <c r="D571" t="s">
        <v>34</v>
      </c>
      <c r="E571" s="4">
        <v>6769.09</v>
      </c>
      <c r="F571">
        <v>20</v>
      </c>
      <c r="G571" t="s">
        <v>29</v>
      </c>
      <c r="H571" s="4">
        <v>3356.62</v>
      </c>
      <c r="I571" s="4">
        <v>3759.0099999999902</v>
      </c>
      <c r="J571" t="s">
        <v>17</v>
      </c>
      <c r="K571" s="2">
        <v>0.05</v>
      </c>
      <c r="L571" t="s">
        <v>31</v>
      </c>
      <c r="M571" t="s">
        <v>22</v>
      </c>
      <c r="N571" t="s">
        <v>48</v>
      </c>
      <c r="O571" s="5">
        <f t="shared" si="8"/>
        <v>8047.7999999998065</v>
      </c>
    </row>
    <row r="572" spans="1:15" x14ac:dyDescent="0.35">
      <c r="A572">
        <v>1012</v>
      </c>
      <c r="B572" s="1">
        <v>45034</v>
      </c>
      <c r="C572" t="s">
        <v>42</v>
      </c>
      <c r="D572" t="s">
        <v>25</v>
      </c>
      <c r="E572" s="4">
        <v>1874.61</v>
      </c>
      <c r="F572">
        <v>9</v>
      </c>
      <c r="G572" t="s">
        <v>35</v>
      </c>
      <c r="H572" s="4">
        <v>709.97</v>
      </c>
      <c r="I572" s="4">
        <v>1029.71</v>
      </c>
      <c r="J572" t="s">
        <v>17</v>
      </c>
      <c r="K572" s="2">
        <v>0.13</v>
      </c>
      <c r="L572" t="s">
        <v>27</v>
      </c>
      <c r="M572" t="s">
        <v>22</v>
      </c>
      <c r="N572" t="s">
        <v>43</v>
      </c>
      <c r="O572" s="5">
        <f t="shared" si="8"/>
        <v>2877.66</v>
      </c>
    </row>
    <row r="573" spans="1:15" x14ac:dyDescent="0.35">
      <c r="A573">
        <v>1095</v>
      </c>
      <c r="B573" s="1">
        <v>45237</v>
      </c>
      <c r="C573" t="s">
        <v>33</v>
      </c>
      <c r="D573" t="s">
        <v>21</v>
      </c>
      <c r="E573" s="4">
        <v>6970.1</v>
      </c>
      <c r="F573">
        <v>32</v>
      </c>
      <c r="G573" t="s">
        <v>29</v>
      </c>
      <c r="H573" s="4">
        <v>4266.6400000000003</v>
      </c>
      <c r="I573" s="4">
        <v>4523.3599999999997</v>
      </c>
      <c r="J573" t="s">
        <v>30</v>
      </c>
      <c r="K573" s="2">
        <v>0.3</v>
      </c>
      <c r="L573" t="s">
        <v>27</v>
      </c>
      <c r="M573" t="s">
        <v>22</v>
      </c>
      <c r="N573" t="s">
        <v>37</v>
      </c>
      <c r="O573" s="5">
        <f t="shared" si="8"/>
        <v>8215.039999999979</v>
      </c>
    </row>
    <row r="574" spans="1:15" x14ac:dyDescent="0.35">
      <c r="A574">
        <v>1046</v>
      </c>
      <c r="B574" s="1">
        <v>45153</v>
      </c>
      <c r="C574" t="s">
        <v>42</v>
      </c>
      <c r="D574" t="s">
        <v>25</v>
      </c>
      <c r="E574" s="4">
        <v>2373.02</v>
      </c>
      <c r="F574">
        <v>4</v>
      </c>
      <c r="G574" t="s">
        <v>16</v>
      </c>
      <c r="H574" s="4">
        <v>4095.1</v>
      </c>
      <c r="I574" s="4">
        <v>4134.55</v>
      </c>
      <c r="J574" t="s">
        <v>17</v>
      </c>
      <c r="K574" s="2">
        <v>0.09</v>
      </c>
      <c r="L574" t="s">
        <v>27</v>
      </c>
      <c r="M574" t="s">
        <v>22</v>
      </c>
      <c r="N574" t="s">
        <v>43</v>
      </c>
      <c r="O574" s="5">
        <f t="shared" si="8"/>
        <v>157.80000000000109</v>
      </c>
    </row>
    <row r="575" spans="1:15" x14ac:dyDescent="0.35">
      <c r="A575">
        <v>1002</v>
      </c>
      <c r="B575" s="1">
        <v>45096</v>
      </c>
      <c r="C575" t="s">
        <v>38</v>
      </c>
      <c r="D575" t="s">
        <v>21</v>
      </c>
      <c r="E575" s="4">
        <v>1263.76</v>
      </c>
      <c r="F575">
        <v>18</v>
      </c>
      <c r="G575" t="s">
        <v>26</v>
      </c>
      <c r="H575" s="4">
        <v>117.63</v>
      </c>
      <c r="I575" s="4">
        <v>576.44000000000005</v>
      </c>
      <c r="J575" t="s">
        <v>30</v>
      </c>
      <c r="K575" s="2">
        <v>0.18</v>
      </c>
      <c r="L575" t="s">
        <v>31</v>
      </c>
      <c r="M575" t="s">
        <v>22</v>
      </c>
      <c r="N575" t="s">
        <v>41</v>
      </c>
      <c r="O575" s="5">
        <f t="shared" si="8"/>
        <v>8258.5800000000017</v>
      </c>
    </row>
    <row r="576" spans="1:15" x14ac:dyDescent="0.35">
      <c r="A576">
        <v>1035</v>
      </c>
      <c r="B576" s="1">
        <v>44960</v>
      </c>
      <c r="C576" t="s">
        <v>33</v>
      </c>
      <c r="D576" t="s">
        <v>15</v>
      </c>
      <c r="E576" s="4">
        <v>1736.32</v>
      </c>
      <c r="F576">
        <v>5</v>
      </c>
      <c r="G576" t="s">
        <v>26</v>
      </c>
      <c r="H576" s="4">
        <v>4483.8500000000004</v>
      </c>
      <c r="I576" s="4">
        <v>4795.42</v>
      </c>
      <c r="J576" t="s">
        <v>17</v>
      </c>
      <c r="K576" s="2">
        <v>0.23</v>
      </c>
      <c r="L576" t="s">
        <v>18</v>
      </c>
      <c r="M576" t="s">
        <v>19</v>
      </c>
      <c r="N576" t="s">
        <v>53</v>
      </c>
      <c r="O576" s="5">
        <f t="shared" si="8"/>
        <v>1557.8499999999985</v>
      </c>
    </row>
    <row r="577" spans="1:15" x14ac:dyDescent="0.35">
      <c r="A577">
        <v>1087</v>
      </c>
      <c r="B577" s="1">
        <v>45177</v>
      </c>
      <c r="C577" t="s">
        <v>33</v>
      </c>
      <c r="D577" t="s">
        <v>15</v>
      </c>
      <c r="E577" s="4">
        <v>119.72</v>
      </c>
      <c r="F577">
        <v>20</v>
      </c>
      <c r="G577" t="s">
        <v>29</v>
      </c>
      <c r="H577" s="4">
        <v>193.27</v>
      </c>
      <c r="I577" s="4">
        <v>297.69</v>
      </c>
      <c r="J577" t="s">
        <v>30</v>
      </c>
      <c r="K577" s="2">
        <v>0.22</v>
      </c>
      <c r="L577" t="s">
        <v>18</v>
      </c>
      <c r="M577" t="s">
        <v>19</v>
      </c>
      <c r="N577" t="s">
        <v>53</v>
      </c>
      <c r="O577" s="5">
        <f t="shared" si="8"/>
        <v>2088.3999999999996</v>
      </c>
    </row>
    <row r="578" spans="1:15" x14ac:dyDescent="0.35">
      <c r="A578">
        <v>1081</v>
      </c>
      <c r="B578" s="1">
        <v>45173</v>
      </c>
      <c r="C578" t="s">
        <v>42</v>
      </c>
      <c r="D578" t="s">
        <v>15</v>
      </c>
      <c r="E578" s="4">
        <v>7215.52</v>
      </c>
      <c r="F578">
        <v>23</v>
      </c>
      <c r="G578" t="s">
        <v>35</v>
      </c>
      <c r="H578" s="4">
        <v>1236.25</v>
      </c>
      <c r="I578" s="4">
        <v>1543.38</v>
      </c>
      <c r="J578" t="s">
        <v>30</v>
      </c>
      <c r="K578" s="2">
        <v>0.1</v>
      </c>
      <c r="L578" t="s">
        <v>27</v>
      </c>
      <c r="M578" t="s">
        <v>19</v>
      </c>
      <c r="N578" t="s">
        <v>49</v>
      </c>
      <c r="O578" s="5">
        <f t="shared" ref="O578:O641" si="9">(I578-H578)*F578</f>
        <v>7063.9900000000025</v>
      </c>
    </row>
    <row r="579" spans="1:15" x14ac:dyDescent="0.35">
      <c r="A579">
        <v>1090</v>
      </c>
      <c r="B579" s="1">
        <v>45195</v>
      </c>
      <c r="C579" t="s">
        <v>38</v>
      </c>
      <c r="D579" t="s">
        <v>15</v>
      </c>
      <c r="E579" s="4">
        <v>7350.77</v>
      </c>
      <c r="F579">
        <v>11</v>
      </c>
      <c r="G579" t="s">
        <v>35</v>
      </c>
      <c r="H579" s="4">
        <v>210.33</v>
      </c>
      <c r="I579" s="4">
        <v>552.29</v>
      </c>
      <c r="J579" t="s">
        <v>17</v>
      </c>
      <c r="K579" s="2">
        <v>0.18</v>
      </c>
      <c r="L579" t="s">
        <v>18</v>
      </c>
      <c r="M579" t="s">
        <v>22</v>
      </c>
      <c r="N579" t="s">
        <v>40</v>
      </c>
      <c r="O579" s="5">
        <f t="shared" si="9"/>
        <v>3761.559999999999</v>
      </c>
    </row>
    <row r="580" spans="1:15" x14ac:dyDescent="0.35">
      <c r="A580">
        <v>1008</v>
      </c>
      <c r="B580" s="1">
        <v>45067</v>
      </c>
      <c r="C580" t="s">
        <v>24</v>
      </c>
      <c r="D580" t="s">
        <v>34</v>
      </c>
      <c r="E580" s="4">
        <v>5197.84</v>
      </c>
      <c r="F580">
        <v>37</v>
      </c>
      <c r="G580" t="s">
        <v>16</v>
      </c>
      <c r="H580" s="4">
        <v>1712.43</v>
      </c>
      <c r="I580" s="4">
        <v>1980.06</v>
      </c>
      <c r="J580" t="s">
        <v>30</v>
      </c>
      <c r="K580" s="2">
        <v>0.26</v>
      </c>
      <c r="L580" t="s">
        <v>18</v>
      </c>
      <c r="M580" t="s">
        <v>19</v>
      </c>
      <c r="N580" t="s">
        <v>50</v>
      </c>
      <c r="O580" s="5">
        <f t="shared" si="9"/>
        <v>9902.3099999999959</v>
      </c>
    </row>
    <row r="581" spans="1:15" x14ac:dyDescent="0.35">
      <c r="A581">
        <v>1093</v>
      </c>
      <c r="B581" s="1">
        <v>45200</v>
      </c>
      <c r="C581" t="s">
        <v>38</v>
      </c>
      <c r="D581" t="s">
        <v>34</v>
      </c>
      <c r="E581" s="4">
        <v>1697.49</v>
      </c>
      <c r="F581">
        <v>22</v>
      </c>
      <c r="G581" t="s">
        <v>35</v>
      </c>
      <c r="H581" s="4">
        <v>2593.64</v>
      </c>
      <c r="I581" s="4">
        <v>2955.5099999999902</v>
      </c>
      <c r="J581" t="s">
        <v>17</v>
      </c>
      <c r="K581" s="2">
        <v>0</v>
      </c>
      <c r="L581" t="s">
        <v>27</v>
      </c>
      <c r="M581" t="s">
        <v>22</v>
      </c>
      <c r="N581" t="s">
        <v>48</v>
      </c>
      <c r="O581" s="5">
        <f t="shared" si="9"/>
        <v>7961.1399999997875</v>
      </c>
    </row>
    <row r="582" spans="1:15" x14ac:dyDescent="0.35">
      <c r="A582">
        <v>1026</v>
      </c>
      <c r="B582" s="1">
        <v>45022</v>
      </c>
      <c r="C582" t="s">
        <v>14</v>
      </c>
      <c r="D582" t="s">
        <v>25</v>
      </c>
      <c r="E582" s="4">
        <v>927.19</v>
      </c>
      <c r="F582">
        <v>4</v>
      </c>
      <c r="G582" t="s">
        <v>35</v>
      </c>
      <c r="H582" s="4">
        <v>3993.39</v>
      </c>
      <c r="I582" s="4">
        <v>4288.3</v>
      </c>
      <c r="J582" t="s">
        <v>30</v>
      </c>
      <c r="K582" s="2">
        <v>0.13</v>
      </c>
      <c r="L582" t="s">
        <v>31</v>
      </c>
      <c r="M582" t="s">
        <v>19</v>
      </c>
      <c r="N582" t="s">
        <v>32</v>
      </c>
      <c r="O582" s="5">
        <f t="shared" si="9"/>
        <v>1179.6400000000012</v>
      </c>
    </row>
    <row r="583" spans="1:15" x14ac:dyDescent="0.35">
      <c r="A583">
        <v>1074</v>
      </c>
      <c r="B583" s="1">
        <v>45153</v>
      </c>
      <c r="C583" t="s">
        <v>24</v>
      </c>
      <c r="D583" t="s">
        <v>21</v>
      </c>
      <c r="E583" s="4">
        <v>289.38</v>
      </c>
      <c r="F583">
        <v>29</v>
      </c>
      <c r="G583" t="s">
        <v>16</v>
      </c>
      <c r="H583" s="4">
        <v>1723.01</v>
      </c>
      <c r="I583" s="4">
        <v>2197.42</v>
      </c>
      <c r="J583" t="s">
        <v>30</v>
      </c>
      <c r="K583" s="2">
        <v>7.0000000000000007E-2</v>
      </c>
      <c r="L583" t="s">
        <v>27</v>
      </c>
      <c r="M583" t="s">
        <v>22</v>
      </c>
      <c r="N583" t="s">
        <v>47</v>
      </c>
      <c r="O583" s="5">
        <f t="shared" si="9"/>
        <v>13757.890000000003</v>
      </c>
    </row>
    <row r="584" spans="1:15" x14ac:dyDescent="0.35">
      <c r="A584">
        <v>1090</v>
      </c>
      <c r="B584" s="1">
        <v>44965</v>
      </c>
      <c r="C584" t="s">
        <v>33</v>
      </c>
      <c r="D584" t="s">
        <v>15</v>
      </c>
      <c r="E584" s="4">
        <v>1740.91</v>
      </c>
      <c r="F584">
        <v>44</v>
      </c>
      <c r="G584" t="s">
        <v>29</v>
      </c>
      <c r="H584" s="4">
        <v>3542.18</v>
      </c>
      <c r="I584" s="4">
        <v>3578.49</v>
      </c>
      <c r="J584" t="s">
        <v>17</v>
      </c>
      <c r="K584" s="2">
        <v>0.12</v>
      </c>
      <c r="L584" t="s">
        <v>18</v>
      </c>
      <c r="M584" t="s">
        <v>19</v>
      </c>
      <c r="N584" t="s">
        <v>53</v>
      </c>
      <c r="O584" s="5">
        <f t="shared" si="9"/>
        <v>1597.6399999999976</v>
      </c>
    </row>
    <row r="585" spans="1:15" x14ac:dyDescent="0.35">
      <c r="A585">
        <v>1034</v>
      </c>
      <c r="B585" s="1">
        <v>45228</v>
      </c>
      <c r="C585" t="s">
        <v>24</v>
      </c>
      <c r="D585" t="s">
        <v>15</v>
      </c>
      <c r="E585" s="4">
        <v>8919.4699999999993</v>
      </c>
      <c r="F585">
        <v>34</v>
      </c>
      <c r="G585" t="s">
        <v>26</v>
      </c>
      <c r="H585" s="4">
        <v>978.15</v>
      </c>
      <c r="I585" s="4">
        <v>1040.21</v>
      </c>
      <c r="J585" t="s">
        <v>30</v>
      </c>
      <c r="K585" s="2">
        <v>0.12</v>
      </c>
      <c r="L585" t="s">
        <v>31</v>
      </c>
      <c r="M585" t="s">
        <v>22</v>
      </c>
      <c r="N585" t="s">
        <v>45</v>
      </c>
      <c r="O585" s="5">
        <f t="shared" si="9"/>
        <v>2110.0400000000018</v>
      </c>
    </row>
    <row r="586" spans="1:15" x14ac:dyDescent="0.35">
      <c r="A586">
        <v>1007</v>
      </c>
      <c r="B586" s="1">
        <v>44955</v>
      </c>
      <c r="C586" t="s">
        <v>33</v>
      </c>
      <c r="D586" t="s">
        <v>21</v>
      </c>
      <c r="E586" s="4">
        <v>2491.21</v>
      </c>
      <c r="F586">
        <v>13</v>
      </c>
      <c r="G586" t="s">
        <v>16</v>
      </c>
      <c r="H586" s="4">
        <v>3765.46</v>
      </c>
      <c r="I586" s="4">
        <v>3860.56</v>
      </c>
      <c r="J586" t="s">
        <v>17</v>
      </c>
      <c r="K586" s="2">
        <v>0.22</v>
      </c>
      <c r="L586" t="s">
        <v>18</v>
      </c>
      <c r="M586" t="s">
        <v>22</v>
      </c>
      <c r="N586" t="s">
        <v>37</v>
      </c>
      <c r="O586" s="5">
        <f t="shared" si="9"/>
        <v>1236.2999999999988</v>
      </c>
    </row>
    <row r="587" spans="1:15" x14ac:dyDescent="0.35">
      <c r="A587">
        <v>1068</v>
      </c>
      <c r="B587" s="1">
        <v>45244</v>
      </c>
      <c r="C587" t="s">
        <v>33</v>
      </c>
      <c r="D587" t="s">
        <v>21</v>
      </c>
      <c r="E587" s="4">
        <v>3607.29</v>
      </c>
      <c r="F587">
        <v>42</v>
      </c>
      <c r="G587" t="s">
        <v>29</v>
      </c>
      <c r="H587" s="4">
        <v>1218.18</v>
      </c>
      <c r="I587" s="4">
        <v>1566.36</v>
      </c>
      <c r="J587" t="s">
        <v>17</v>
      </c>
      <c r="K587" s="2">
        <v>0.03</v>
      </c>
      <c r="L587" t="s">
        <v>31</v>
      </c>
      <c r="M587" t="s">
        <v>22</v>
      </c>
      <c r="N587" t="s">
        <v>37</v>
      </c>
      <c r="O587" s="5">
        <f t="shared" si="9"/>
        <v>14623.559999999994</v>
      </c>
    </row>
    <row r="588" spans="1:15" x14ac:dyDescent="0.35">
      <c r="A588">
        <v>1058</v>
      </c>
      <c r="B588" s="1">
        <v>45171</v>
      </c>
      <c r="C588" t="s">
        <v>24</v>
      </c>
      <c r="D588" t="s">
        <v>25</v>
      </c>
      <c r="E588" s="4">
        <v>1142.92</v>
      </c>
      <c r="F588">
        <v>9</v>
      </c>
      <c r="G588" t="s">
        <v>16</v>
      </c>
      <c r="H588" s="4">
        <v>760.55</v>
      </c>
      <c r="I588" s="4">
        <v>1086.8899999999901</v>
      </c>
      <c r="J588" t="s">
        <v>17</v>
      </c>
      <c r="K588" s="2">
        <v>0.15</v>
      </c>
      <c r="L588" t="s">
        <v>18</v>
      </c>
      <c r="M588" t="s">
        <v>22</v>
      </c>
      <c r="N588" t="s">
        <v>28</v>
      </c>
      <c r="O588" s="5">
        <f t="shared" si="9"/>
        <v>2937.0599999999113</v>
      </c>
    </row>
    <row r="589" spans="1:15" x14ac:dyDescent="0.35">
      <c r="A589">
        <v>1075</v>
      </c>
      <c r="B589" s="1">
        <v>45162</v>
      </c>
      <c r="C589" t="s">
        <v>33</v>
      </c>
      <c r="D589" t="s">
        <v>21</v>
      </c>
      <c r="E589" s="4">
        <v>2301.38</v>
      </c>
      <c r="F589">
        <v>42</v>
      </c>
      <c r="G589" t="s">
        <v>29</v>
      </c>
      <c r="H589" s="4">
        <v>967.77</v>
      </c>
      <c r="I589" s="4">
        <v>1414.88</v>
      </c>
      <c r="J589" t="s">
        <v>30</v>
      </c>
      <c r="K589" s="2">
        <v>0.17</v>
      </c>
      <c r="L589" t="s">
        <v>27</v>
      </c>
      <c r="M589" t="s">
        <v>19</v>
      </c>
      <c r="N589" t="s">
        <v>37</v>
      </c>
      <c r="O589" s="5">
        <f t="shared" si="9"/>
        <v>18778.620000000006</v>
      </c>
    </row>
    <row r="590" spans="1:15" x14ac:dyDescent="0.35">
      <c r="A590">
        <v>1029</v>
      </c>
      <c r="B590" s="1">
        <v>45111</v>
      </c>
      <c r="C590" t="s">
        <v>33</v>
      </c>
      <c r="D590" t="s">
        <v>15</v>
      </c>
      <c r="E590" s="4">
        <v>5240.32</v>
      </c>
      <c r="F590">
        <v>31</v>
      </c>
      <c r="G590" t="s">
        <v>16</v>
      </c>
      <c r="H590" s="4">
        <v>951.21</v>
      </c>
      <c r="I590" s="4">
        <v>1320.32</v>
      </c>
      <c r="J590" t="s">
        <v>30</v>
      </c>
      <c r="K590" s="2">
        <v>0.15</v>
      </c>
      <c r="L590" t="s">
        <v>18</v>
      </c>
      <c r="M590" t="s">
        <v>19</v>
      </c>
      <c r="N590" t="s">
        <v>53</v>
      </c>
      <c r="O590" s="5">
        <f t="shared" si="9"/>
        <v>11442.409999999996</v>
      </c>
    </row>
    <row r="591" spans="1:15" x14ac:dyDescent="0.35">
      <c r="A591">
        <v>1036</v>
      </c>
      <c r="B591" s="1">
        <v>45198</v>
      </c>
      <c r="C591" t="s">
        <v>14</v>
      </c>
      <c r="D591" t="s">
        <v>15</v>
      </c>
      <c r="E591" s="4">
        <v>6116.75</v>
      </c>
      <c r="F591">
        <v>7</v>
      </c>
      <c r="G591" t="s">
        <v>29</v>
      </c>
      <c r="H591" s="4">
        <v>2588.67</v>
      </c>
      <c r="I591" s="4">
        <v>2847.76</v>
      </c>
      <c r="J591" t="s">
        <v>30</v>
      </c>
      <c r="K591" s="2">
        <v>0.22</v>
      </c>
      <c r="L591" t="s">
        <v>18</v>
      </c>
      <c r="M591" t="s">
        <v>22</v>
      </c>
      <c r="N591" t="s">
        <v>20</v>
      </c>
      <c r="O591" s="5">
        <f t="shared" si="9"/>
        <v>1813.630000000001</v>
      </c>
    </row>
    <row r="592" spans="1:15" x14ac:dyDescent="0.35">
      <c r="A592">
        <v>1089</v>
      </c>
      <c r="B592" s="1">
        <v>45162</v>
      </c>
      <c r="C592" t="s">
        <v>38</v>
      </c>
      <c r="D592" t="s">
        <v>15</v>
      </c>
      <c r="E592" s="4">
        <v>2528.9899999999998</v>
      </c>
      <c r="F592">
        <v>4</v>
      </c>
      <c r="G592" t="s">
        <v>16</v>
      </c>
      <c r="H592" s="4">
        <v>4231.75</v>
      </c>
      <c r="I592" s="4">
        <v>4727.75</v>
      </c>
      <c r="J592" t="s">
        <v>17</v>
      </c>
      <c r="K592" s="2">
        <v>0.12</v>
      </c>
      <c r="L592" t="s">
        <v>31</v>
      </c>
      <c r="M592" t="s">
        <v>22</v>
      </c>
      <c r="N592" t="s">
        <v>40</v>
      </c>
      <c r="O592" s="5">
        <f t="shared" si="9"/>
        <v>1984</v>
      </c>
    </row>
    <row r="593" spans="1:15" x14ac:dyDescent="0.35">
      <c r="A593">
        <v>1021</v>
      </c>
      <c r="B593" s="1">
        <v>45165</v>
      </c>
      <c r="C593" t="s">
        <v>38</v>
      </c>
      <c r="D593" t="s">
        <v>15</v>
      </c>
      <c r="E593" s="4">
        <v>671.55</v>
      </c>
      <c r="F593">
        <v>19</v>
      </c>
      <c r="G593" t="s">
        <v>29</v>
      </c>
      <c r="H593" s="4">
        <v>444.05</v>
      </c>
      <c r="I593" s="4">
        <v>584.44000000000005</v>
      </c>
      <c r="J593" t="s">
        <v>17</v>
      </c>
      <c r="K593" s="2">
        <v>0.28000000000000003</v>
      </c>
      <c r="L593" t="s">
        <v>18</v>
      </c>
      <c r="M593" t="s">
        <v>22</v>
      </c>
      <c r="N593" t="s">
        <v>40</v>
      </c>
      <c r="O593" s="5">
        <f t="shared" si="9"/>
        <v>2667.4100000000008</v>
      </c>
    </row>
    <row r="594" spans="1:15" x14ac:dyDescent="0.35">
      <c r="A594">
        <v>1036</v>
      </c>
      <c r="B594" s="1">
        <v>45192</v>
      </c>
      <c r="C594" t="s">
        <v>14</v>
      </c>
      <c r="D594" t="s">
        <v>15</v>
      </c>
      <c r="E594" s="4">
        <v>3971.23</v>
      </c>
      <c r="F594">
        <v>42</v>
      </c>
      <c r="G594" t="s">
        <v>16</v>
      </c>
      <c r="H594" s="4">
        <v>3549.43</v>
      </c>
      <c r="I594" s="4">
        <v>3967.6899999999901</v>
      </c>
      <c r="J594" t="s">
        <v>30</v>
      </c>
      <c r="K594" s="2">
        <v>0.14000000000000001</v>
      </c>
      <c r="L594" t="s">
        <v>27</v>
      </c>
      <c r="M594" t="s">
        <v>19</v>
      </c>
      <c r="N594" t="s">
        <v>20</v>
      </c>
      <c r="O594" s="5">
        <f t="shared" si="9"/>
        <v>17566.919999999591</v>
      </c>
    </row>
    <row r="595" spans="1:15" x14ac:dyDescent="0.35">
      <c r="A595">
        <v>1010</v>
      </c>
      <c r="B595" s="1">
        <v>45285</v>
      </c>
      <c r="C595" t="s">
        <v>24</v>
      </c>
      <c r="D595" t="s">
        <v>25</v>
      </c>
      <c r="E595" s="4">
        <v>2418.61</v>
      </c>
      <c r="F595">
        <v>30</v>
      </c>
      <c r="G595" t="s">
        <v>26</v>
      </c>
      <c r="H595" s="4">
        <v>3289.01</v>
      </c>
      <c r="I595" s="4">
        <v>3508.14</v>
      </c>
      <c r="J595" t="s">
        <v>30</v>
      </c>
      <c r="K595" s="2">
        <v>0.17</v>
      </c>
      <c r="L595" t="s">
        <v>27</v>
      </c>
      <c r="M595" t="s">
        <v>22</v>
      </c>
      <c r="N595" t="s">
        <v>28</v>
      </c>
      <c r="O595" s="5">
        <f t="shared" si="9"/>
        <v>6573.8999999999896</v>
      </c>
    </row>
    <row r="596" spans="1:15" x14ac:dyDescent="0.35">
      <c r="A596">
        <v>1073</v>
      </c>
      <c r="B596" s="1">
        <v>45266</v>
      </c>
      <c r="C596" t="s">
        <v>42</v>
      </c>
      <c r="D596" t="s">
        <v>15</v>
      </c>
      <c r="E596" s="4">
        <v>2273.58</v>
      </c>
      <c r="F596">
        <v>31</v>
      </c>
      <c r="G596" t="s">
        <v>26</v>
      </c>
      <c r="H596" s="4">
        <v>4368.97</v>
      </c>
      <c r="I596" s="4">
        <v>4696.8500000000004</v>
      </c>
      <c r="J596" t="s">
        <v>17</v>
      </c>
      <c r="K596" s="2">
        <v>0.25</v>
      </c>
      <c r="L596" t="s">
        <v>27</v>
      </c>
      <c r="M596" t="s">
        <v>22</v>
      </c>
      <c r="N596" t="s">
        <v>49</v>
      </c>
      <c r="O596" s="5">
        <f t="shared" si="9"/>
        <v>10164.280000000002</v>
      </c>
    </row>
    <row r="597" spans="1:15" x14ac:dyDescent="0.35">
      <c r="A597">
        <v>1024</v>
      </c>
      <c r="B597" s="1">
        <v>44991</v>
      </c>
      <c r="C597" t="s">
        <v>42</v>
      </c>
      <c r="D597" t="s">
        <v>25</v>
      </c>
      <c r="E597" s="4">
        <v>9602.64</v>
      </c>
      <c r="F597">
        <v>35</v>
      </c>
      <c r="G597" t="s">
        <v>35</v>
      </c>
      <c r="H597" s="4">
        <v>1258.53</v>
      </c>
      <c r="I597" s="4">
        <v>1624.8899999999901</v>
      </c>
      <c r="J597" t="s">
        <v>30</v>
      </c>
      <c r="K597" s="2">
        <v>0.08</v>
      </c>
      <c r="L597" t="s">
        <v>31</v>
      </c>
      <c r="M597" t="s">
        <v>19</v>
      </c>
      <c r="N597" t="s">
        <v>43</v>
      </c>
      <c r="O597" s="5">
        <f t="shared" si="9"/>
        <v>12822.599999999655</v>
      </c>
    </row>
    <row r="598" spans="1:15" x14ac:dyDescent="0.35">
      <c r="A598">
        <v>1064</v>
      </c>
      <c r="B598" s="1">
        <v>45103</v>
      </c>
      <c r="C598" t="s">
        <v>42</v>
      </c>
      <c r="D598" t="s">
        <v>15</v>
      </c>
      <c r="E598" s="4">
        <v>6201.37</v>
      </c>
      <c r="F598">
        <v>21</v>
      </c>
      <c r="G598" t="s">
        <v>29</v>
      </c>
      <c r="H598" s="4">
        <v>2278.04</v>
      </c>
      <c r="I598" s="4">
        <v>2598.58</v>
      </c>
      <c r="J598" t="s">
        <v>17</v>
      </c>
      <c r="K598" s="2">
        <v>0.02</v>
      </c>
      <c r="L598" t="s">
        <v>31</v>
      </c>
      <c r="M598" t="s">
        <v>22</v>
      </c>
      <c r="N598" t="s">
        <v>49</v>
      </c>
      <c r="O598" s="5">
        <f t="shared" si="9"/>
        <v>6731.3399999999992</v>
      </c>
    </row>
    <row r="599" spans="1:15" x14ac:dyDescent="0.35">
      <c r="A599">
        <v>1099</v>
      </c>
      <c r="B599" s="1">
        <v>44929</v>
      </c>
      <c r="C599" t="s">
        <v>14</v>
      </c>
      <c r="D599" t="s">
        <v>34</v>
      </c>
      <c r="E599" s="4">
        <v>5613.1</v>
      </c>
      <c r="F599">
        <v>31</v>
      </c>
      <c r="G599" t="s">
        <v>16</v>
      </c>
      <c r="H599" s="4">
        <v>4632.8500000000004</v>
      </c>
      <c r="I599" s="4">
        <v>4711.7</v>
      </c>
      <c r="J599" t="s">
        <v>30</v>
      </c>
      <c r="K599" s="2">
        <v>0.21</v>
      </c>
      <c r="L599" t="s">
        <v>18</v>
      </c>
      <c r="M599" t="s">
        <v>22</v>
      </c>
      <c r="N599" t="s">
        <v>46</v>
      </c>
      <c r="O599" s="5">
        <f t="shared" si="9"/>
        <v>2444.3499999999831</v>
      </c>
    </row>
    <row r="600" spans="1:15" x14ac:dyDescent="0.35">
      <c r="A600">
        <v>1049</v>
      </c>
      <c r="B600" s="1">
        <v>45068</v>
      </c>
      <c r="C600" t="s">
        <v>14</v>
      </c>
      <c r="D600" t="s">
        <v>34</v>
      </c>
      <c r="E600" s="4">
        <v>4216.17</v>
      </c>
      <c r="F600">
        <v>19</v>
      </c>
      <c r="G600" t="s">
        <v>29</v>
      </c>
      <c r="H600" s="4">
        <v>3316.97</v>
      </c>
      <c r="I600" s="4">
        <v>3544.02</v>
      </c>
      <c r="J600" t="s">
        <v>17</v>
      </c>
      <c r="K600" s="2">
        <v>0.14000000000000001</v>
      </c>
      <c r="L600" t="s">
        <v>18</v>
      </c>
      <c r="M600" t="s">
        <v>19</v>
      </c>
      <c r="N600" t="s">
        <v>46</v>
      </c>
      <c r="O600" s="5">
        <f t="shared" si="9"/>
        <v>4313.9500000000035</v>
      </c>
    </row>
    <row r="601" spans="1:15" x14ac:dyDescent="0.35">
      <c r="A601">
        <v>1099</v>
      </c>
      <c r="B601" s="1">
        <v>45084</v>
      </c>
      <c r="C601" t="s">
        <v>33</v>
      </c>
      <c r="D601" t="s">
        <v>34</v>
      </c>
      <c r="E601" s="4">
        <v>4346.55</v>
      </c>
      <c r="F601">
        <v>31</v>
      </c>
      <c r="G601" t="s">
        <v>26</v>
      </c>
      <c r="H601" s="4">
        <v>1974.4</v>
      </c>
      <c r="I601" s="4">
        <v>2259.5</v>
      </c>
      <c r="J601" t="s">
        <v>30</v>
      </c>
      <c r="K601" s="2">
        <v>0.27</v>
      </c>
      <c r="L601" t="s">
        <v>18</v>
      </c>
      <c r="M601" t="s">
        <v>22</v>
      </c>
      <c r="N601" t="s">
        <v>36</v>
      </c>
      <c r="O601" s="5">
        <f t="shared" si="9"/>
        <v>8838.0999999999967</v>
      </c>
    </row>
    <row r="602" spans="1:15" x14ac:dyDescent="0.35">
      <c r="A602">
        <v>1036</v>
      </c>
      <c r="B602" s="1">
        <v>45250</v>
      </c>
      <c r="C602" t="s">
        <v>42</v>
      </c>
      <c r="D602" t="s">
        <v>34</v>
      </c>
      <c r="E602" s="4">
        <v>5454.96</v>
      </c>
      <c r="F602">
        <v>32</v>
      </c>
      <c r="G602" t="s">
        <v>29</v>
      </c>
      <c r="H602" s="4">
        <v>700.49</v>
      </c>
      <c r="I602" s="4">
        <v>1126.52</v>
      </c>
      <c r="J602" t="s">
        <v>30</v>
      </c>
      <c r="K602" s="2">
        <v>0.28999999999999998</v>
      </c>
      <c r="L602" t="s">
        <v>31</v>
      </c>
      <c r="M602" t="s">
        <v>22</v>
      </c>
      <c r="N602" t="s">
        <v>52</v>
      </c>
      <c r="O602" s="5">
        <f t="shared" si="9"/>
        <v>13632.96</v>
      </c>
    </row>
    <row r="603" spans="1:15" x14ac:dyDescent="0.35">
      <c r="A603">
        <v>1082</v>
      </c>
      <c r="B603" s="1">
        <v>45072</v>
      </c>
      <c r="C603" t="s">
        <v>24</v>
      </c>
      <c r="D603" t="s">
        <v>25</v>
      </c>
      <c r="E603" s="4">
        <v>6994.66</v>
      </c>
      <c r="F603">
        <v>2</v>
      </c>
      <c r="G603" t="s">
        <v>16</v>
      </c>
      <c r="H603" s="4">
        <v>1349.3</v>
      </c>
      <c r="I603" s="4">
        <v>1576.69</v>
      </c>
      <c r="J603" t="s">
        <v>17</v>
      </c>
      <c r="K603" s="2">
        <v>0.12</v>
      </c>
      <c r="L603" t="s">
        <v>31</v>
      </c>
      <c r="M603" t="s">
        <v>19</v>
      </c>
      <c r="N603" t="s">
        <v>28</v>
      </c>
      <c r="O603" s="5">
        <f t="shared" si="9"/>
        <v>454.7800000000002</v>
      </c>
    </row>
    <row r="604" spans="1:15" x14ac:dyDescent="0.35">
      <c r="A604">
        <v>1096</v>
      </c>
      <c r="B604" s="1">
        <v>45219</v>
      </c>
      <c r="C604" t="s">
        <v>24</v>
      </c>
      <c r="D604" t="s">
        <v>25</v>
      </c>
      <c r="E604" s="4">
        <v>7051.25</v>
      </c>
      <c r="F604">
        <v>10</v>
      </c>
      <c r="G604" t="s">
        <v>29</v>
      </c>
      <c r="H604" s="4">
        <v>2927.02</v>
      </c>
      <c r="I604" s="4">
        <v>3387.21</v>
      </c>
      <c r="J604" t="s">
        <v>17</v>
      </c>
      <c r="K604" s="2">
        <v>0.12</v>
      </c>
      <c r="L604" t="s">
        <v>18</v>
      </c>
      <c r="M604" t="s">
        <v>22</v>
      </c>
      <c r="N604" t="s">
        <v>28</v>
      </c>
      <c r="O604" s="5">
        <f t="shared" si="9"/>
        <v>4601.9000000000005</v>
      </c>
    </row>
    <row r="605" spans="1:15" x14ac:dyDescent="0.35">
      <c r="A605">
        <v>1024</v>
      </c>
      <c r="B605" s="1">
        <v>45079</v>
      </c>
      <c r="C605" t="s">
        <v>42</v>
      </c>
      <c r="D605" t="s">
        <v>21</v>
      </c>
      <c r="E605" s="4">
        <v>1799.77</v>
      </c>
      <c r="F605">
        <v>2</v>
      </c>
      <c r="G605" t="s">
        <v>16</v>
      </c>
      <c r="H605" s="4">
        <v>3604.93</v>
      </c>
      <c r="I605" s="4">
        <v>3830.71</v>
      </c>
      <c r="J605" t="s">
        <v>17</v>
      </c>
      <c r="K605" s="2">
        <v>0.12</v>
      </c>
      <c r="L605" t="s">
        <v>31</v>
      </c>
      <c r="M605" t="s">
        <v>19</v>
      </c>
      <c r="N605" t="s">
        <v>51</v>
      </c>
      <c r="O605" s="5">
        <f t="shared" si="9"/>
        <v>451.5600000000004</v>
      </c>
    </row>
    <row r="606" spans="1:15" x14ac:dyDescent="0.35">
      <c r="A606">
        <v>1023</v>
      </c>
      <c r="B606" s="1">
        <v>45119</v>
      </c>
      <c r="C606" t="s">
        <v>42</v>
      </c>
      <c r="D606" t="s">
        <v>15</v>
      </c>
      <c r="E606" s="4">
        <v>5051.12</v>
      </c>
      <c r="F606">
        <v>2</v>
      </c>
      <c r="G606" t="s">
        <v>26</v>
      </c>
      <c r="H606" s="4">
        <v>665.89</v>
      </c>
      <c r="I606" s="4">
        <v>944.79</v>
      </c>
      <c r="J606" t="s">
        <v>30</v>
      </c>
      <c r="K606" s="2">
        <v>0.1</v>
      </c>
      <c r="L606" t="s">
        <v>31</v>
      </c>
      <c r="M606" t="s">
        <v>22</v>
      </c>
      <c r="N606" t="s">
        <v>49</v>
      </c>
      <c r="O606" s="5">
        <f t="shared" si="9"/>
        <v>557.79999999999995</v>
      </c>
    </row>
    <row r="607" spans="1:15" x14ac:dyDescent="0.35">
      <c r="A607">
        <v>1062</v>
      </c>
      <c r="B607" s="1">
        <v>44999</v>
      </c>
      <c r="C607" t="s">
        <v>42</v>
      </c>
      <c r="D607" t="s">
        <v>34</v>
      </c>
      <c r="E607" s="4">
        <v>4178.3900000000003</v>
      </c>
      <c r="F607">
        <v>24</v>
      </c>
      <c r="G607" t="s">
        <v>26</v>
      </c>
      <c r="H607" s="4">
        <v>3018.01</v>
      </c>
      <c r="I607" s="4">
        <v>3418.19</v>
      </c>
      <c r="J607" t="s">
        <v>17</v>
      </c>
      <c r="K607" s="2">
        <v>0.23</v>
      </c>
      <c r="L607" t="s">
        <v>27</v>
      </c>
      <c r="M607" t="s">
        <v>22</v>
      </c>
      <c r="N607" t="s">
        <v>52</v>
      </c>
      <c r="O607" s="5">
        <f t="shared" si="9"/>
        <v>9604.3199999999961</v>
      </c>
    </row>
    <row r="608" spans="1:15" x14ac:dyDescent="0.35">
      <c r="A608">
        <v>1096</v>
      </c>
      <c r="B608" s="1">
        <v>45231</v>
      </c>
      <c r="C608" t="s">
        <v>14</v>
      </c>
      <c r="D608" t="s">
        <v>25</v>
      </c>
      <c r="E608" s="4">
        <v>8718.2199999999993</v>
      </c>
      <c r="F608">
        <v>17</v>
      </c>
      <c r="G608" t="s">
        <v>26</v>
      </c>
      <c r="H608" s="4">
        <v>2774.24</v>
      </c>
      <c r="I608" s="4">
        <v>3069.9399999999901</v>
      </c>
      <c r="J608" t="s">
        <v>17</v>
      </c>
      <c r="K608" s="2">
        <v>0.23</v>
      </c>
      <c r="L608" t="s">
        <v>27</v>
      </c>
      <c r="M608" t="s">
        <v>22</v>
      </c>
      <c r="N608" t="s">
        <v>32</v>
      </c>
      <c r="O608" s="5">
        <f t="shared" si="9"/>
        <v>5026.8999999998341</v>
      </c>
    </row>
    <row r="609" spans="1:15" x14ac:dyDescent="0.35">
      <c r="A609">
        <v>1037</v>
      </c>
      <c r="B609" s="1">
        <v>45270</v>
      </c>
      <c r="C609" t="s">
        <v>14</v>
      </c>
      <c r="D609" t="s">
        <v>15</v>
      </c>
      <c r="E609" s="4">
        <v>6351.05</v>
      </c>
      <c r="F609">
        <v>32</v>
      </c>
      <c r="G609" t="s">
        <v>35</v>
      </c>
      <c r="H609" s="4">
        <v>2594.08</v>
      </c>
      <c r="I609" s="4">
        <v>3074.59</v>
      </c>
      <c r="J609" t="s">
        <v>30</v>
      </c>
      <c r="K609" s="2">
        <v>0.14000000000000001</v>
      </c>
      <c r="L609" t="s">
        <v>18</v>
      </c>
      <c r="M609" t="s">
        <v>22</v>
      </c>
      <c r="N609" t="s">
        <v>20</v>
      </c>
      <c r="O609" s="5">
        <f t="shared" si="9"/>
        <v>15376.320000000007</v>
      </c>
    </row>
    <row r="610" spans="1:15" x14ac:dyDescent="0.35">
      <c r="A610">
        <v>1012</v>
      </c>
      <c r="B610" s="1">
        <v>45066</v>
      </c>
      <c r="C610" t="s">
        <v>14</v>
      </c>
      <c r="D610" t="s">
        <v>15</v>
      </c>
      <c r="E610" s="4">
        <v>5371.79</v>
      </c>
      <c r="F610">
        <v>16</v>
      </c>
      <c r="G610" t="s">
        <v>26</v>
      </c>
      <c r="H610" s="4">
        <v>3466.11</v>
      </c>
      <c r="I610" s="4">
        <v>3799.67</v>
      </c>
      <c r="J610" t="s">
        <v>17</v>
      </c>
      <c r="K610" s="2">
        <v>0.01</v>
      </c>
      <c r="L610" t="s">
        <v>18</v>
      </c>
      <c r="M610" t="s">
        <v>22</v>
      </c>
      <c r="N610" t="s">
        <v>20</v>
      </c>
      <c r="O610" s="5">
        <f t="shared" si="9"/>
        <v>5336.9599999999991</v>
      </c>
    </row>
    <row r="611" spans="1:15" x14ac:dyDescent="0.35">
      <c r="A611">
        <v>1055</v>
      </c>
      <c r="B611" s="1">
        <v>45113</v>
      </c>
      <c r="C611" t="s">
        <v>38</v>
      </c>
      <c r="D611" t="s">
        <v>25</v>
      </c>
      <c r="E611" s="4">
        <v>1242.4100000000001</v>
      </c>
      <c r="F611">
        <v>16</v>
      </c>
      <c r="G611" t="s">
        <v>29</v>
      </c>
      <c r="H611" s="4">
        <v>4195.38</v>
      </c>
      <c r="I611" s="4">
        <v>4461.51</v>
      </c>
      <c r="J611" t="s">
        <v>17</v>
      </c>
      <c r="K611" s="2">
        <v>0.09</v>
      </c>
      <c r="L611" t="s">
        <v>27</v>
      </c>
      <c r="M611" t="s">
        <v>19</v>
      </c>
      <c r="N611" t="s">
        <v>39</v>
      </c>
      <c r="O611" s="5">
        <f t="shared" si="9"/>
        <v>4258.0800000000017</v>
      </c>
    </row>
    <row r="612" spans="1:15" x14ac:dyDescent="0.35">
      <c r="A612">
        <v>1013</v>
      </c>
      <c r="B612" s="1">
        <v>45219</v>
      </c>
      <c r="C612" t="s">
        <v>24</v>
      </c>
      <c r="D612" t="s">
        <v>34</v>
      </c>
      <c r="E612" s="4">
        <v>6095.82</v>
      </c>
      <c r="F612">
        <v>46</v>
      </c>
      <c r="G612" t="s">
        <v>35</v>
      </c>
      <c r="H612" s="4">
        <v>1648.8</v>
      </c>
      <c r="I612" s="4">
        <v>1670.36</v>
      </c>
      <c r="J612" t="s">
        <v>17</v>
      </c>
      <c r="K612" s="2">
        <v>0.09</v>
      </c>
      <c r="L612" t="s">
        <v>31</v>
      </c>
      <c r="M612" t="s">
        <v>22</v>
      </c>
      <c r="N612" t="s">
        <v>50</v>
      </c>
      <c r="O612" s="5">
        <f t="shared" si="9"/>
        <v>991.75999999999749</v>
      </c>
    </row>
    <row r="613" spans="1:15" x14ac:dyDescent="0.35">
      <c r="A613">
        <v>1023</v>
      </c>
      <c r="B613" s="1">
        <v>44987</v>
      </c>
      <c r="C613" t="s">
        <v>24</v>
      </c>
      <c r="D613" t="s">
        <v>21</v>
      </c>
      <c r="E613" s="4">
        <v>1260.32</v>
      </c>
      <c r="F613">
        <v>39</v>
      </c>
      <c r="G613" t="s">
        <v>26</v>
      </c>
      <c r="H613" s="4">
        <v>4450.6099999999997</v>
      </c>
      <c r="I613" s="4">
        <v>4663.3399999999901</v>
      </c>
      <c r="J613" t="s">
        <v>30</v>
      </c>
      <c r="K613" s="2">
        <v>0.24</v>
      </c>
      <c r="L613" t="s">
        <v>18</v>
      </c>
      <c r="M613" t="s">
        <v>22</v>
      </c>
      <c r="N613" t="s">
        <v>47</v>
      </c>
      <c r="O613" s="5">
        <f t="shared" si="9"/>
        <v>8296.4699999996283</v>
      </c>
    </row>
    <row r="614" spans="1:15" x14ac:dyDescent="0.35">
      <c r="A614">
        <v>1089</v>
      </c>
      <c r="B614" s="1">
        <v>45124</v>
      </c>
      <c r="C614" t="s">
        <v>33</v>
      </c>
      <c r="D614" t="s">
        <v>15</v>
      </c>
      <c r="E614" s="4">
        <v>3438.35</v>
      </c>
      <c r="F614">
        <v>31</v>
      </c>
      <c r="G614" t="s">
        <v>29</v>
      </c>
      <c r="H614" s="4">
        <v>845.14</v>
      </c>
      <c r="I614" s="4">
        <v>1001.77</v>
      </c>
      <c r="J614" t="s">
        <v>30</v>
      </c>
      <c r="K614" s="2">
        <v>0.03</v>
      </c>
      <c r="L614" t="s">
        <v>18</v>
      </c>
      <c r="M614" t="s">
        <v>19</v>
      </c>
      <c r="N614" t="s">
        <v>53</v>
      </c>
      <c r="O614" s="5">
        <f t="shared" si="9"/>
        <v>4855.53</v>
      </c>
    </row>
    <row r="615" spans="1:15" x14ac:dyDescent="0.35">
      <c r="A615">
        <v>1099</v>
      </c>
      <c r="B615" s="1">
        <v>45221</v>
      </c>
      <c r="C615" t="s">
        <v>14</v>
      </c>
      <c r="D615" t="s">
        <v>21</v>
      </c>
      <c r="E615" s="4">
        <v>1514.14</v>
      </c>
      <c r="F615">
        <v>43</v>
      </c>
      <c r="G615" t="s">
        <v>29</v>
      </c>
      <c r="H615" s="4">
        <v>906.47</v>
      </c>
      <c r="I615" s="4">
        <v>1283.04</v>
      </c>
      <c r="J615" t="s">
        <v>30</v>
      </c>
      <c r="K615" s="2">
        <v>0.24</v>
      </c>
      <c r="L615" t="s">
        <v>18</v>
      </c>
      <c r="M615" t="s">
        <v>19</v>
      </c>
      <c r="N615" t="s">
        <v>23</v>
      </c>
      <c r="O615" s="5">
        <f t="shared" si="9"/>
        <v>16192.509999999997</v>
      </c>
    </row>
    <row r="616" spans="1:15" x14ac:dyDescent="0.35">
      <c r="A616">
        <v>1030</v>
      </c>
      <c r="B616" s="1">
        <v>45245</v>
      </c>
      <c r="C616" t="s">
        <v>38</v>
      </c>
      <c r="D616" t="s">
        <v>34</v>
      </c>
      <c r="E616" s="4">
        <v>6951.53</v>
      </c>
      <c r="F616">
        <v>24</v>
      </c>
      <c r="G616" t="s">
        <v>29</v>
      </c>
      <c r="H616" s="4">
        <v>1370.52</v>
      </c>
      <c r="I616" s="4">
        <v>1482.58</v>
      </c>
      <c r="J616" t="s">
        <v>17</v>
      </c>
      <c r="K616" s="2">
        <v>0.2</v>
      </c>
      <c r="L616" t="s">
        <v>31</v>
      </c>
      <c r="M616" t="s">
        <v>22</v>
      </c>
      <c r="N616" t="s">
        <v>48</v>
      </c>
      <c r="O616" s="5">
        <f t="shared" si="9"/>
        <v>2689.4399999999987</v>
      </c>
    </row>
    <row r="617" spans="1:15" x14ac:dyDescent="0.35">
      <c r="A617">
        <v>1017</v>
      </c>
      <c r="B617" s="1">
        <v>45228</v>
      </c>
      <c r="C617" t="s">
        <v>38</v>
      </c>
      <c r="D617" t="s">
        <v>34</v>
      </c>
      <c r="E617" s="4">
        <v>2141.9</v>
      </c>
      <c r="F617">
        <v>1</v>
      </c>
      <c r="G617" t="s">
        <v>16</v>
      </c>
      <c r="H617" s="4">
        <v>641.67999999999995</v>
      </c>
      <c r="I617" s="4">
        <v>752.24</v>
      </c>
      <c r="J617" t="s">
        <v>30</v>
      </c>
      <c r="K617" s="2">
        <v>0.22</v>
      </c>
      <c r="L617" t="s">
        <v>27</v>
      </c>
      <c r="M617" t="s">
        <v>19</v>
      </c>
      <c r="N617" t="s">
        <v>48</v>
      </c>
      <c r="O617" s="5">
        <f t="shared" si="9"/>
        <v>110.56000000000006</v>
      </c>
    </row>
    <row r="618" spans="1:15" x14ac:dyDescent="0.35">
      <c r="A618">
        <v>1062</v>
      </c>
      <c r="B618" s="1">
        <v>45270</v>
      </c>
      <c r="C618" t="s">
        <v>24</v>
      </c>
      <c r="D618" t="s">
        <v>21</v>
      </c>
      <c r="E618" s="4">
        <v>3979.41</v>
      </c>
      <c r="F618">
        <v>11</v>
      </c>
      <c r="G618" t="s">
        <v>35</v>
      </c>
      <c r="H618" s="4">
        <v>1190.08</v>
      </c>
      <c r="I618" s="4">
        <v>1292.9399999999901</v>
      </c>
      <c r="J618" t="s">
        <v>17</v>
      </c>
      <c r="K618" s="2">
        <v>0.13</v>
      </c>
      <c r="L618" t="s">
        <v>18</v>
      </c>
      <c r="M618" t="s">
        <v>22</v>
      </c>
      <c r="N618" t="s">
        <v>47</v>
      </c>
      <c r="O618" s="5">
        <f t="shared" si="9"/>
        <v>1131.4599999998914</v>
      </c>
    </row>
    <row r="619" spans="1:15" x14ac:dyDescent="0.35">
      <c r="A619">
        <v>1084</v>
      </c>
      <c r="B619" s="1">
        <v>44937</v>
      </c>
      <c r="C619" t="s">
        <v>14</v>
      </c>
      <c r="D619" t="s">
        <v>34</v>
      </c>
      <c r="E619" s="4">
        <v>8967.18</v>
      </c>
      <c r="F619">
        <v>21</v>
      </c>
      <c r="G619" t="s">
        <v>29</v>
      </c>
      <c r="H619" s="4">
        <v>576.74</v>
      </c>
      <c r="I619" s="4">
        <v>648.29</v>
      </c>
      <c r="J619" t="s">
        <v>17</v>
      </c>
      <c r="K619" s="2">
        <v>0.2</v>
      </c>
      <c r="L619" t="s">
        <v>27</v>
      </c>
      <c r="M619" t="s">
        <v>19</v>
      </c>
      <c r="N619" t="s">
        <v>46</v>
      </c>
      <c r="O619" s="5">
        <f t="shared" si="9"/>
        <v>1502.549999999999</v>
      </c>
    </row>
    <row r="620" spans="1:15" x14ac:dyDescent="0.35">
      <c r="A620">
        <v>1089</v>
      </c>
      <c r="B620" s="1">
        <v>44988</v>
      </c>
      <c r="C620" t="s">
        <v>33</v>
      </c>
      <c r="D620" t="s">
        <v>15</v>
      </c>
      <c r="E620" s="4">
        <v>2122.73</v>
      </c>
      <c r="F620">
        <v>4</v>
      </c>
      <c r="G620" t="s">
        <v>16</v>
      </c>
      <c r="H620" s="4">
        <v>4117.67</v>
      </c>
      <c r="I620" s="4">
        <v>4280.0600000000004</v>
      </c>
      <c r="J620" t="s">
        <v>17</v>
      </c>
      <c r="K620" s="2">
        <v>0.18</v>
      </c>
      <c r="L620" t="s">
        <v>27</v>
      </c>
      <c r="M620" t="s">
        <v>19</v>
      </c>
      <c r="N620" t="s">
        <v>53</v>
      </c>
      <c r="O620" s="5">
        <f t="shared" si="9"/>
        <v>649.56000000000131</v>
      </c>
    </row>
    <row r="621" spans="1:15" x14ac:dyDescent="0.35">
      <c r="A621">
        <v>1086</v>
      </c>
      <c r="B621" s="1">
        <v>45259</v>
      </c>
      <c r="C621" t="s">
        <v>14</v>
      </c>
      <c r="D621" t="s">
        <v>21</v>
      </c>
      <c r="E621" s="4">
        <v>5127.2700000000004</v>
      </c>
      <c r="F621">
        <v>7</v>
      </c>
      <c r="G621" t="s">
        <v>26</v>
      </c>
      <c r="H621" s="4">
        <v>737.9</v>
      </c>
      <c r="I621" s="4">
        <v>1182</v>
      </c>
      <c r="J621" t="s">
        <v>30</v>
      </c>
      <c r="K621" s="2">
        <v>0.23</v>
      </c>
      <c r="L621" t="s">
        <v>31</v>
      </c>
      <c r="M621" t="s">
        <v>22</v>
      </c>
      <c r="N621" t="s">
        <v>23</v>
      </c>
      <c r="O621" s="5">
        <f t="shared" si="9"/>
        <v>3108.7000000000003</v>
      </c>
    </row>
    <row r="622" spans="1:15" x14ac:dyDescent="0.35">
      <c r="A622">
        <v>1013</v>
      </c>
      <c r="B622" s="1">
        <v>45152</v>
      </c>
      <c r="C622" t="s">
        <v>42</v>
      </c>
      <c r="D622" t="s">
        <v>34</v>
      </c>
      <c r="E622" s="4">
        <v>4250.79</v>
      </c>
      <c r="F622">
        <v>26</v>
      </c>
      <c r="G622" t="s">
        <v>29</v>
      </c>
      <c r="H622" s="4">
        <v>3749.12</v>
      </c>
      <c r="I622" s="4">
        <v>4138.83</v>
      </c>
      <c r="J622" t="s">
        <v>30</v>
      </c>
      <c r="K622" s="2">
        <v>0.13</v>
      </c>
      <c r="L622" t="s">
        <v>31</v>
      </c>
      <c r="M622" t="s">
        <v>19</v>
      </c>
      <c r="N622" t="s">
        <v>52</v>
      </c>
      <c r="O622" s="5">
        <f t="shared" si="9"/>
        <v>10132.460000000001</v>
      </c>
    </row>
    <row r="623" spans="1:15" x14ac:dyDescent="0.35">
      <c r="A623">
        <v>1059</v>
      </c>
      <c r="B623" s="1">
        <v>45079</v>
      </c>
      <c r="C623" t="s">
        <v>14</v>
      </c>
      <c r="D623" t="s">
        <v>21</v>
      </c>
      <c r="E623" s="4">
        <v>279.43</v>
      </c>
      <c r="F623">
        <v>47</v>
      </c>
      <c r="G623" t="s">
        <v>16</v>
      </c>
      <c r="H623" s="4">
        <v>287.17</v>
      </c>
      <c r="I623" s="4">
        <v>657.44</v>
      </c>
      <c r="J623" t="s">
        <v>17</v>
      </c>
      <c r="K623" s="2">
        <v>0.14000000000000001</v>
      </c>
      <c r="L623" t="s">
        <v>31</v>
      </c>
      <c r="M623" t="s">
        <v>22</v>
      </c>
      <c r="N623" t="s">
        <v>23</v>
      </c>
      <c r="O623" s="5">
        <f t="shared" si="9"/>
        <v>17402.690000000002</v>
      </c>
    </row>
    <row r="624" spans="1:15" x14ac:dyDescent="0.35">
      <c r="A624">
        <v>1019</v>
      </c>
      <c r="B624" s="1">
        <v>45125</v>
      </c>
      <c r="C624" t="s">
        <v>42</v>
      </c>
      <c r="D624" t="s">
        <v>15</v>
      </c>
      <c r="E624" s="4">
        <v>7948.31</v>
      </c>
      <c r="F624">
        <v>12</v>
      </c>
      <c r="G624" t="s">
        <v>29</v>
      </c>
      <c r="H624" s="4">
        <v>4745.18</v>
      </c>
      <c r="I624" s="4">
        <v>5145.88</v>
      </c>
      <c r="J624" t="s">
        <v>17</v>
      </c>
      <c r="K624" s="2">
        <v>0.19</v>
      </c>
      <c r="L624" t="s">
        <v>31</v>
      </c>
      <c r="M624" t="s">
        <v>19</v>
      </c>
      <c r="N624" t="s">
        <v>49</v>
      </c>
      <c r="O624" s="5">
        <f t="shared" si="9"/>
        <v>4808.3999999999978</v>
      </c>
    </row>
    <row r="625" spans="1:15" x14ac:dyDescent="0.35">
      <c r="A625">
        <v>1049</v>
      </c>
      <c r="B625" s="1">
        <v>44978</v>
      </c>
      <c r="C625" t="s">
        <v>42</v>
      </c>
      <c r="D625" t="s">
        <v>34</v>
      </c>
      <c r="E625" s="4">
        <v>783.55</v>
      </c>
      <c r="F625">
        <v>31</v>
      </c>
      <c r="G625" t="s">
        <v>35</v>
      </c>
      <c r="H625" s="4">
        <v>3570.24</v>
      </c>
      <c r="I625" s="4">
        <v>3712.25</v>
      </c>
      <c r="J625" t="s">
        <v>30</v>
      </c>
      <c r="K625" s="2">
        <v>0.03</v>
      </c>
      <c r="L625" t="s">
        <v>31</v>
      </c>
      <c r="M625" t="s">
        <v>19</v>
      </c>
      <c r="N625" t="s">
        <v>52</v>
      </c>
      <c r="O625" s="5">
        <f t="shared" si="9"/>
        <v>4402.3100000000068</v>
      </c>
    </row>
    <row r="626" spans="1:15" x14ac:dyDescent="0.35">
      <c r="A626">
        <v>1100</v>
      </c>
      <c r="B626" s="1">
        <v>45186</v>
      </c>
      <c r="C626" t="s">
        <v>33</v>
      </c>
      <c r="D626" t="s">
        <v>15</v>
      </c>
      <c r="E626" s="4">
        <v>4795.12</v>
      </c>
      <c r="F626">
        <v>17</v>
      </c>
      <c r="G626" t="s">
        <v>35</v>
      </c>
      <c r="H626" s="4">
        <v>83.64</v>
      </c>
      <c r="I626" s="4">
        <v>528.49</v>
      </c>
      <c r="J626" t="s">
        <v>30</v>
      </c>
      <c r="K626" s="2">
        <v>0.13</v>
      </c>
      <c r="L626" t="s">
        <v>31</v>
      </c>
      <c r="M626" t="s">
        <v>19</v>
      </c>
      <c r="N626" t="s">
        <v>53</v>
      </c>
      <c r="O626" s="5">
        <f t="shared" si="9"/>
        <v>7562.4500000000007</v>
      </c>
    </row>
    <row r="627" spans="1:15" x14ac:dyDescent="0.35">
      <c r="A627">
        <v>1012</v>
      </c>
      <c r="B627" s="1">
        <v>44985</v>
      </c>
      <c r="C627" t="s">
        <v>24</v>
      </c>
      <c r="D627" t="s">
        <v>34</v>
      </c>
      <c r="E627" s="4">
        <v>5650.72</v>
      </c>
      <c r="F627">
        <v>33</v>
      </c>
      <c r="G627" t="s">
        <v>26</v>
      </c>
      <c r="H627" s="4">
        <v>3831.09</v>
      </c>
      <c r="I627" s="4">
        <v>3908.37</v>
      </c>
      <c r="J627" t="s">
        <v>30</v>
      </c>
      <c r="K627" s="2">
        <v>0.28999999999999998</v>
      </c>
      <c r="L627" t="s">
        <v>18</v>
      </c>
      <c r="M627" t="s">
        <v>22</v>
      </c>
      <c r="N627" t="s">
        <v>50</v>
      </c>
      <c r="O627" s="5">
        <f t="shared" si="9"/>
        <v>2550.2399999999916</v>
      </c>
    </row>
    <row r="628" spans="1:15" x14ac:dyDescent="0.35">
      <c r="A628">
        <v>1061</v>
      </c>
      <c r="B628" s="1">
        <v>44998</v>
      </c>
      <c r="C628" t="s">
        <v>14</v>
      </c>
      <c r="D628" t="s">
        <v>25</v>
      </c>
      <c r="E628" s="4">
        <v>6321.42</v>
      </c>
      <c r="F628">
        <v>11</v>
      </c>
      <c r="G628" t="s">
        <v>29</v>
      </c>
      <c r="H628" s="4">
        <v>2594.71</v>
      </c>
      <c r="I628" s="4">
        <v>2769.52</v>
      </c>
      <c r="J628" t="s">
        <v>17</v>
      </c>
      <c r="K628" s="2">
        <v>0.01</v>
      </c>
      <c r="L628" t="s">
        <v>27</v>
      </c>
      <c r="M628" t="s">
        <v>22</v>
      </c>
      <c r="N628" t="s">
        <v>32</v>
      </c>
      <c r="O628" s="5">
        <f t="shared" si="9"/>
        <v>1922.9099999999994</v>
      </c>
    </row>
    <row r="629" spans="1:15" x14ac:dyDescent="0.35">
      <c r="A629">
        <v>1019</v>
      </c>
      <c r="B629" s="1">
        <v>45074</v>
      </c>
      <c r="C629" t="s">
        <v>42</v>
      </c>
      <c r="D629" t="s">
        <v>34</v>
      </c>
      <c r="E629" s="4">
        <v>6917.45</v>
      </c>
      <c r="F629">
        <v>28</v>
      </c>
      <c r="G629" t="s">
        <v>16</v>
      </c>
      <c r="H629" s="4">
        <v>3907.86</v>
      </c>
      <c r="I629" s="4">
        <v>4205.37</v>
      </c>
      <c r="J629" t="s">
        <v>30</v>
      </c>
      <c r="K629" s="2">
        <v>0.09</v>
      </c>
      <c r="L629" t="s">
        <v>31</v>
      </c>
      <c r="M629" t="s">
        <v>19</v>
      </c>
      <c r="N629" t="s">
        <v>52</v>
      </c>
      <c r="O629" s="5">
        <f t="shared" si="9"/>
        <v>8330.2799999999934</v>
      </c>
    </row>
    <row r="630" spans="1:15" x14ac:dyDescent="0.35">
      <c r="A630">
        <v>1076</v>
      </c>
      <c r="B630" s="1">
        <v>45275</v>
      </c>
      <c r="C630" t="s">
        <v>14</v>
      </c>
      <c r="D630" t="s">
        <v>21</v>
      </c>
      <c r="E630" s="4">
        <v>2607.4</v>
      </c>
      <c r="F630">
        <v>32</v>
      </c>
      <c r="G630" t="s">
        <v>26</v>
      </c>
      <c r="H630" s="4">
        <v>2636.36</v>
      </c>
      <c r="I630" s="4">
        <v>2696.78</v>
      </c>
      <c r="J630" t="s">
        <v>30</v>
      </c>
      <c r="K630" s="2">
        <v>0.09</v>
      </c>
      <c r="L630" t="s">
        <v>18</v>
      </c>
      <c r="M630" t="s">
        <v>22</v>
      </c>
      <c r="N630" t="s">
        <v>23</v>
      </c>
      <c r="O630" s="5">
        <f t="shared" si="9"/>
        <v>1933.4400000000023</v>
      </c>
    </row>
    <row r="631" spans="1:15" x14ac:dyDescent="0.35">
      <c r="A631">
        <v>1009</v>
      </c>
      <c r="B631" s="1">
        <v>44989</v>
      </c>
      <c r="C631" t="s">
        <v>24</v>
      </c>
      <c r="D631" t="s">
        <v>34</v>
      </c>
      <c r="E631" s="4">
        <v>198.79</v>
      </c>
      <c r="F631">
        <v>1</v>
      </c>
      <c r="G631" t="s">
        <v>29</v>
      </c>
      <c r="H631" s="4">
        <v>3223.07</v>
      </c>
      <c r="I631" s="4">
        <v>3590.83</v>
      </c>
      <c r="J631" t="s">
        <v>30</v>
      </c>
      <c r="K631" s="2">
        <v>0.19</v>
      </c>
      <c r="L631" t="s">
        <v>27</v>
      </c>
      <c r="M631" t="s">
        <v>22</v>
      </c>
      <c r="N631" t="s">
        <v>50</v>
      </c>
      <c r="O631" s="5">
        <f t="shared" si="9"/>
        <v>367.75999999999976</v>
      </c>
    </row>
    <row r="632" spans="1:15" x14ac:dyDescent="0.35">
      <c r="A632">
        <v>1071</v>
      </c>
      <c r="B632" s="1">
        <v>45236</v>
      </c>
      <c r="C632" t="s">
        <v>24</v>
      </c>
      <c r="D632" t="s">
        <v>15</v>
      </c>
      <c r="E632" s="4">
        <v>7262.09</v>
      </c>
      <c r="F632">
        <v>47</v>
      </c>
      <c r="G632" t="s">
        <v>26</v>
      </c>
      <c r="H632" s="4">
        <v>3942.34</v>
      </c>
      <c r="I632" s="4">
        <v>4142.09</v>
      </c>
      <c r="J632" t="s">
        <v>17</v>
      </c>
      <c r="K632" s="2">
        <v>0.03</v>
      </c>
      <c r="L632" t="s">
        <v>31</v>
      </c>
      <c r="M632" t="s">
        <v>22</v>
      </c>
      <c r="N632" t="s">
        <v>45</v>
      </c>
      <c r="O632" s="5">
        <f t="shared" si="9"/>
        <v>9388.25</v>
      </c>
    </row>
    <row r="633" spans="1:15" x14ac:dyDescent="0.35">
      <c r="A633">
        <v>1028</v>
      </c>
      <c r="B633" s="1">
        <v>45169</v>
      </c>
      <c r="C633" t="s">
        <v>38</v>
      </c>
      <c r="D633" t="s">
        <v>15</v>
      </c>
      <c r="E633" s="4">
        <v>5403</v>
      </c>
      <c r="F633">
        <v>28</v>
      </c>
      <c r="G633" t="s">
        <v>16</v>
      </c>
      <c r="H633" s="4">
        <v>2055.2800000000002</v>
      </c>
      <c r="I633" s="4">
        <v>2449.64</v>
      </c>
      <c r="J633" t="s">
        <v>30</v>
      </c>
      <c r="K633" s="2">
        <v>0.19</v>
      </c>
      <c r="L633" t="s">
        <v>31</v>
      </c>
      <c r="M633" t="s">
        <v>19</v>
      </c>
      <c r="N633" t="s">
        <v>40</v>
      </c>
      <c r="O633" s="5">
        <f t="shared" si="9"/>
        <v>11042.079999999991</v>
      </c>
    </row>
    <row r="634" spans="1:15" x14ac:dyDescent="0.35">
      <c r="A634">
        <v>1078</v>
      </c>
      <c r="B634" s="1">
        <v>45292</v>
      </c>
      <c r="C634" t="s">
        <v>24</v>
      </c>
      <c r="D634" t="s">
        <v>34</v>
      </c>
      <c r="E634" s="4">
        <v>8377.57</v>
      </c>
      <c r="F634">
        <v>42</v>
      </c>
      <c r="G634" t="s">
        <v>26</v>
      </c>
      <c r="H634" s="4">
        <v>63.41</v>
      </c>
      <c r="I634" s="4">
        <v>314.93</v>
      </c>
      <c r="J634" t="s">
        <v>17</v>
      </c>
      <c r="K634" s="2">
        <v>0.03</v>
      </c>
      <c r="L634" t="s">
        <v>18</v>
      </c>
      <c r="M634" t="s">
        <v>22</v>
      </c>
      <c r="N634" t="s">
        <v>50</v>
      </c>
      <c r="O634" s="5">
        <f t="shared" si="9"/>
        <v>10563.84</v>
      </c>
    </row>
    <row r="635" spans="1:15" x14ac:dyDescent="0.35">
      <c r="A635">
        <v>1095</v>
      </c>
      <c r="B635" s="1">
        <v>45256</v>
      </c>
      <c r="C635" t="s">
        <v>33</v>
      </c>
      <c r="D635" t="s">
        <v>21</v>
      </c>
      <c r="E635" s="4">
        <v>8231.74</v>
      </c>
      <c r="F635">
        <v>7</v>
      </c>
      <c r="G635" t="s">
        <v>26</v>
      </c>
      <c r="H635" s="4">
        <v>4257.24</v>
      </c>
      <c r="I635" s="4">
        <v>4355.87</v>
      </c>
      <c r="J635" t="s">
        <v>17</v>
      </c>
      <c r="K635" s="2">
        <v>0.03</v>
      </c>
      <c r="L635" t="s">
        <v>27</v>
      </c>
      <c r="M635" t="s">
        <v>19</v>
      </c>
      <c r="N635" t="s">
        <v>37</v>
      </c>
      <c r="O635" s="5">
        <f t="shared" si="9"/>
        <v>690.41000000000076</v>
      </c>
    </row>
    <row r="636" spans="1:15" x14ac:dyDescent="0.35">
      <c r="A636">
        <v>1052</v>
      </c>
      <c r="B636" s="1">
        <v>45033</v>
      </c>
      <c r="C636" t="s">
        <v>42</v>
      </c>
      <c r="D636" t="s">
        <v>25</v>
      </c>
      <c r="E636" s="4">
        <v>8448.93</v>
      </c>
      <c r="F636">
        <v>2</v>
      </c>
      <c r="G636" t="s">
        <v>26</v>
      </c>
      <c r="H636" s="4">
        <v>1935.41</v>
      </c>
      <c r="I636" s="4">
        <v>2305.44</v>
      </c>
      <c r="J636" t="s">
        <v>17</v>
      </c>
      <c r="K636" s="2">
        <v>0.22</v>
      </c>
      <c r="L636" t="s">
        <v>31</v>
      </c>
      <c r="M636" t="s">
        <v>19</v>
      </c>
      <c r="N636" t="s">
        <v>43</v>
      </c>
      <c r="O636" s="5">
        <f t="shared" si="9"/>
        <v>740.06</v>
      </c>
    </row>
    <row r="637" spans="1:15" x14ac:dyDescent="0.35">
      <c r="A637">
        <v>1083</v>
      </c>
      <c r="B637" s="1">
        <v>45152</v>
      </c>
      <c r="C637" t="s">
        <v>38</v>
      </c>
      <c r="D637" t="s">
        <v>21</v>
      </c>
      <c r="E637" s="4">
        <v>4902.4399999999996</v>
      </c>
      <c r="F637">
        <v>42</v>
      </c>
      <c r="G637" t="s">
        <v>29</v>
      </c>
      <c r="H637" s="4">
        <v>2505.41</v>
      </c>
      <c r="I637" s="4">
        <v>2638.96</v>
      </c>
      <c r="J637" t="s">
        <v>30</v>
      </c>
      <c r="K637" s="2">
        <v>0.1</v>
      </c>
      <c r="L637" t="s">
        <v>27</v>
      </c>
      <c r="M637" t="s">
        <v>19</v>
      </c>
      <c r="N637" t="s">
        <v>41</v>
      </c>
      <c r="O637" s="5">
        <f t="shared" si="9"/>
        <v>5609.1000000000076</v>
      </c>
    </row>
    <row r="638" spans="1:15" x14ac:dyDescent="0.35">
      <c r="A638">
        <v>1016</v>
      </c>
      <c r="B638" s="1">
        <v>45239</v>
      </c>
      <c r="C638" t="s">
        <v>33</v>
      </c>
      <c r="D638" t="s">
        <v>25</v>
      </c>
      <c r="E638" s="4">
        <v>3402.92</v>
      </c>
      <c r="F638">
        <v>24</v>
      </c>
      <c r="G638" t="s">
        <v>16</v>
      </c>
      <c r="H638" s="4">
        <v>88.44</v>
      </c>
      <c r="I638" s="4">
        <v>338.94</v>
      </c>
      <c r="J638" t="s">
        <v>30</v>
      </c>
      <c r="K638" s="2">
        <v>0.28999999999999998</v>
      </c>
      <c r="L638" t="s">
        <v>18</v>
      </c>
      <c r="M638" t="s">
        <v>19</v>
      </c>
      <c r="N638" t="s">
        <v>44</v>
      </c>
      <c r="O638" s="5">
        <f t="shared" si="9"/>
        <v>6012</v>
      </c>
    </row>
    <row r="639" spans="1:15" x14ac:dyDescent="0.35">
      <c r="A639">
        <v>1069</v>
      </c>
      <c r="B639" s="1">
        <v>45144</v>
      </c>
      <c r="C639" t="s">
        <v>14</v>
      </c>
      <c r="D639" t="s">
        <v>15</v>
      </c>
      <c r="E639" s="4">
        <v>7936.43</v>
      </c>
      <c r="F639">
        <v>4</v>
      </c>
      <c r="G639" t="s">
        <v>35</v>
      </c>
      <c r="H639" s="4">
        <v>2485.86</v>
      </c>
      <c r="I639" s="4">
        <v>2532.87</v>
      </c>
      <c r="J639" t="s">
        <v>30</v>
      </c>
      <c r="K639" s="2">
        <v>0.01</v>
      </c>
      <c r="L639" t="s">
        <v>31</v>
      </c>
      <c r="M639" t="s">
        <v>19</v>
      </c>
      <c r="N639" t="s">
        <v>20</v>
      </c>
      <c r="O639" s="5">
        <f t="shared" si="9"/>
        <v>188.03999999999905</v>
      </c>
    </row>
    <row r="640" spans="1:15" x14ac:dyDescent="0.35">
      <c r="A640">
        <v>1099</v>
      </c>
      <c r="B640" s="1">
        <v>45167</v>
      </c>
      <c r="C640" t="s">
        <v>42</v>
      </c>
      <c r="D640" t="s">
        <v>21</v>
      </c>
      <c r="E640" s="4">
        <v>4567.8100000000004</v>
      </c>
      <c r="F640">
        <v>44</v>
      </c>
      <c r="G640" t="s">
        <v>29</v>
      </c>
      <c r="H640" s="4">
        <v>4933.1099999999997</v>
      </c>
      <c r="I640" s="4">
        <v>5245.86</v>
      </c>
      <c r="J640" t="s">
        <v>17</v>
      </c>
      <c r="K640" s="2">
        <v>0.13</v>
      </c>
      <c r="L640" t="s">
        <v>27</v>
      </c>
      <c r="M640" t="s">
        <v>22</v>
      </c>
      <c r="N640" t="s">
        <v>51</v>
      </c>
      <c r="O640" s="5">
        <f t="shared" si="9"/>
        <v>13761</v>
      </c>
    </row>
    <row r="641" spans="1:15" x14ac:dyDescent="0.35">
      <c r="A641">
        <v>1012</v>
      </c>
      <c r="B641" s="1">
        <v>45185</v>
      </c>
      <c r="C641" t="s">
        <v>24</v>
      </c>
      <c r="D641" t="s">
        <v>25</v>
      </c>
      <c r="E641" s="4">
        <v>1916.08</v>
      </c>
      <c r="F641">
        <v>19</v>
      </c>
      <c r="G641" t="s">
        <v>35</v>
      </c>
      <c r="H641" s="4">
        <v>1427.42</v>
      </c>
      <c r="I641" s="4">
        <v>1763.69</v>
      </c>
      <c r="J641" t="s">
        <v>30</v>
      </c>
      <c r="K641" s="2">
        <v>0.03</v>
      </c>
      <c r="L641" t="s">
        <v>18</v>
      </c>
      <c r="M641" t="s">
        <v>22</v>
      </c>
      <c r="N641" t="s">
        <v>28</v>
      </c>
      <c r="O641" s="5">
        <f t="shared" si="9"/>
        <v>6389.1299999999992</v>
      </c>
    </row>
    <row r="642" spans="1:15" x14ac:dyDescent="0.35">
      <c r="A642">
        <v>1025</v>
      </c>
      <c r="B642" s="1">
        <v>45188</v>
      </c>
      <c r="C642" t="s">
        <v>42</v>
      </c>
      <c r="D642" t="s">
        <v>34</v>
      </c>
      <c r="E642" s="4">
        <v>8564.24</v>
      </c>
      <c r="F642">
        <v>26</v>
      </c>
      <c r="G642" t="s">
        <v>35</v>
      </c>
      <c r="H642" s="4">
        <v>2007.32</v>
      </c>
      <c r="I642" s="4">
        <v>2202.87</v>
      </c>
      <c r="J642" t="s">
        <v>17</v>
      </c>
      <c r="K642" s="2">
        <v>0.11</v>
      </c>
      <c r="L642" t="s">
        <v>18</v>
      </c>
      <c r="M642" t="s">
        <v>19</v>
      </c>
      <c r="N642" t="s">
        <v>52</v>
      </c>
      <c r="O642" s="5">
        <f t="shared" ref="O642:O705" si="10">(I642-H642)*F642</f>
        <v>5084.2999999999993</v>
      </c>
    </row>
    <row r="643" spans="1:15" x14ac:dyDescent="0.35">
      <c r="A643">
        <v>1052</v>
      </c>
      <c r="B643" s="1">
        <v>44931</v>
      </c>
      <c r="C643" t="s">
        <v>14</v>
      </c>
      <c r="D643" t="s">
        <v>15</v>
      </c>
      <c r="E643" s="4">
        <v>8837.34</v>
      </c>
      <c r="F643">
        <v>11</v>
      </c>
      <c r="G643" t="s">
        <v>29</v>
      </c>
      <c r="H643" s="4">
        <v>3451.59</v>
      </c>
      <c r="I643" s="4">
        <v>3929.26</v>
      </c>
      <c r="J643" t="s">
        <v>30</v>
      </c>
      <c r="K643" s="2">
        <v>0.3</v>
      </c>
      <c r="L643" t="s">
        <v>31</v>
      </c>
      <c r="M643" t="s">
        <v>22</v>
      </c>
      <c r="N643" t="s">
        <v>20</v>
      </c>
      <c r="O643" s="5">
        <f t="shared" si="10"/>
        <v>5254.3700000000008</v>
      </c>
    </row>
    <row r="644" spans="1:15" x14ac:dyDescent="0.35">
      <c r="A644">
        <v>1085</v>
      </c>
      <c r="B644" s="1">
        <v>45187</v>
      </c>
      <c r="C644" t="s">
        <v>38</v>
      </c>
      <c r="D644" t="s">
        <v>34</v>
      </c>
      <c r="E644" s="4">
        <v>4716.47</v>
      </c>
      <c r="F644">
        <v>40</v>
      </c>
      <c r="G644" t="s">
        <v>29</v>
      </c>
      <c r="H644" s="4">
        <v>4083.23</v>
      </c>
      <c r="I644" s="4">
        <v>4521.57</v>
      </c>
      <c r="J644" t="s">
        <v>30</v>
      </c>
      <c r="K644" s="2">
        <v>0.27</v>
      </c>
      <c r="L644" t="s">
        <v>27</v>
      </c>
      <c r="M644" t="s">
        <v>22</v>
      </c>
      <c r="N644" t="s">
        <v>48</v>
      </c>
      <c r="O644" s="5">
        <f t="shared" si="10"/>
        <v>17533.599999999988</v>
      </c>
    </row>
    <row r="645" spans="1:15" x14ac:dyDescent="0.35">
      <c r="A645">
        <v>1100</v>
      </c>
      <c r="B645" s="1">
        <v>44980</v>
      </c>
      <c r="C645" t="s">
        <v>38</v>
      </c>
      <c r="D645" t="s">
        <v>15</v>
      </c>
      <c r="E645" s="4">
        <v>849.43</v>
      </c>
      <c r="F645">
        <v>43</v>
      </c>
      <c r="G645" t="s">
        <v>16</v>
      </c>
      <c r="H645" s="4">
        <v>2116.09</v>
      </c>
      <c r="I645" s="4">
        <v>2472.98</v>
      </c>
      <c r="J645" t="s">
        <v>30</v>
      </c>
      <c r="K645" s="2">
        <v>0.01</v>
      </c>
      <c r="L645" t="s">
        <v>31</v>
      </c>
      <c r="M645" t="s">
        <v>22</v>
      </c>
      <c r="N645" t="s">
        <v>40</v>
      </c>
      <c r="O645" s="5">
        <f t="shared" si="10"/>
        <v>15346.269999999995</v>
      </c>
    </row>
    <row r="646" spans="1:15" x14ac:dyDescent="0.35">
      <c r="A646">
        <v>1053</v>
      </c>
      <c r="B646" s="1">
        <v>44973</v>
      </c>
      <c r="C646" t="s">
        <v>38</v>
      </c>
      <c r="D646" t="s">
        <v>21</v>
      </c>
      <c r="E646" s="4">
        <v>3939.48</v>
      </c>
      <c r="F646">
        <v>11</v>
      </c>
      <c r="G646" t="s">
        <v>16</v>
      </c>
      <c r="H646" s="4">
        <v>1582.86</v>
      </c>
      <c r="I646" s="4">
        <v>1942.55</v>
      </c>
      <c r="J646" t="s">
        <v>30</v>
      </c>
      <c r="K646" s="2">
        <v>0.17</v>
      </c>
      <c r="L646" t="s">
        <v>31</v>
      </c>
      <c r="M646" t="s">
        <v>22</v>
      </c>
      <c r="N646" t="s">
        <v>41</v>
      </c>
      <c r="O646" s="5">
        <f t="shared" si="10"/>
        <v>3956.5900000000006</v>
      </c>
    </row>
    <row r="647" spans="1:15" x14ac:dyDescent="0.35">
      <c r="A647">
        <v>1023</v>
      </c>
      <c r="B647" s="1">
        <v>45141</v>
      </c>
      <c r="C647" t="s">
        <v>24</v>
      </c>
      <c r="D647" t="s">
        <v>21</v>
      </c>
      <c r="E647" s="4">
        <v>8055.02</v>
      </c>
      <c r="F647">
        <v>45</v>
      </c>
      <c r="G647" t="s">
        <v>26</v>
      </c>
      <c r="H647" s="4">
        <v>4692.24</v>
      </c>
      <c r="I647" s="4">
        <v>4825.92</v>
      </c>
      <c r="J647" t="s">
        <v>17</v>
      </c>
      <c r="K647" s="2">
        <v>0.19</v>
      </c>
      <c r="L647" t="s">
        <v>27</v>
      </c>
      <c r="M647" t="s">
        <v>22</v>
      </c>
      <c r="N647" t="s">
        <v>47</v>
      </c>
      <c r="O647" s="5">
        <f t="shared" si="10"/>
        <v>6015.6000000000131</v>
      </c>
    </row>
    <row r="648" spans="1:15" x14ac:dyDescent="0.35">
      <c r="A648">
        <v>1016</v>
      </c>
      <c r="B648" s="1">
        <v>45103</v>
      </c>
      <c r="C648" t="s">
        <v>33</v>
      </c>
      <c r="D648" t="s">
        <v>15</v>
      </c>
      <c r="E648" s="4">
        <v>9027.56</v>
      </c>
      <c r="F648">
        <v>3</v>
      </c>
      <c r="G648" t="s">
        <v>35</v>
      </c>
      <c r="H648" s="4">
        <v>3401.87</v>
      </c>
      <c r="I648" s="4">
        <v>3733.71</v>
      </c>
      <c r="J648" t="s">
        <v>17</v>
      </c>
      <c r="K648" s="2">
        <v>0.06</v>
      </c>
      <c r="L648" t="s">
        <v>27</v>
      </c>
      <c r="M648" t="s">
        <v>22</v>
      </c>
      <c r="N648" t="s">
        <v>53</v>
      </c>
      <c r="O648" s="5">
        <f t="shared" si="10"/>
        <v>995.52000000000044</v>
      </c>
    </row>
    <row r="649" spans="1:15" x14ac:dyDescent="0.35">
      <c r="A649">
        <v>1057</v>
      </c>
      <c r="B649" s="1">
        <v>44935</v>
      </c>
      <c r="C649" t="s">
        <v>33</v>
      </c>
      <c r="D649" t="s">
        <v>15</v>
      </c>
      <c r="E649" s="4">
        <v>2114.38</v>
      </c>
      <c r="F649">
        <v>12</v>
      </c>
      <c r="G649" t="s">
        <v>16</v>
      </c>
      <c r="H649" s="4">
        <v>639.16</v>
      </c>
      <c r="I649" s="4">
        <v>746.28</v>
      </c>
      <c r="J649" t="s">
        <v>17</v>
      </c>
      <c r="K649" s="2">
        <v>0.04</v>
      </c>
      <c r="L649" t="s">
        <v>27</v>
      </c>
      <c r="M649" t="s">
        <v>22</v>
      </c>
      <c r="N649" t="s">
        <v>53</v>
      </c>
      <c r="O649" s="5">
        <f t="shared" si="10"/>
        <v>1285.44</v>
      </c>
    </row>
    <row r="650" spans="1:15" x14ac:dyDescent="0.35">
      <c r="A650">
        <v>1039</v>
      </c>
      <c r="B650" s="1">
        <v>45025</v>
      </c>
      <c r="C650" t="s">
        <v>42</v>
      </c>
      <c r="D650" t="s">
        <v>15</v>
      </c>
      <c r="E650" s="4">
        <v>763.04</v>
      </c>
      <c r="F650">
        <v>3</v>
      </c>
      <c r="G650" t="s">
        <v>26</v>
      </c>
      <c r="H650" s="4">
        <v>391.19</v>
      </c>
      <c r="I650" s="4">
        <v>471.75</v>
      </c>
      <c r="J650" t="s">
        <v>17</v>
      </c>
      <c r="K650" s="2">
        <v>0.27</v>
      </c>
      <c r="L650" t="s">
        <v>18</v>
      </c>
      <c r="M650" t="s">
        <v>19</v>
      </c>
      <c r="N650" t="s">
        <v>49</v>
      </c>
      <c r="O650" s="5">
        <f t="shared" si="10"/>
        <v>241.68</v>
      </c>
    </row>
    <row r="651" spans="1:15" x14ac:dyDescent="0.35">
      <c r="A651">
        <v>1053</v>
      </c>
      <c r="B651" s="1">
        <v>44946</v>
      </c>
      <c r="C651" t="s">
        <v>24</v>
      </c>
      <c r="D651" t="s">
        <v>21</v>
      </c>
      <c r="E651" s="4">
        <v>8785.77</v>
      </c>
      <c r="F651">
        <v>42</v>
      </c>
      <c r="G651" t="s">
        <v>16</v>
      </c>
      <c r="H651" s="4">
        <v>2443.5700000000002</v>
      </c>
      <c r="I651" s="4">
        <v>2943.31</v>
      </c>
      <c r="J651" t="s">
        <v>30</v>
      </c>
      <c r="K651" s="2">
        <v>0.28999999999999998</v>
      </c>
      <c r="L651" t="s">
        <v>18</v>
      </c>
      <c r="M651" t="s">
        <v>19</v>
      </c>
      <c r="N651" t="s">
        <v>47</v>
      </c>
      <c r="O651" s="5">
        <f t="shared" si="10"/>
        <v>20989.079999999991</v>
      </c>
    </row>
    <row r="652" spans="1:15" x14ac:dyDescent="0.35">
      <c r="A652">
        <v>1042</v>
      </c>
      <c r="B652" s="1">
        <v>45167</v>
      </c>
      <c r="C652" t="s">
        <v>38</v>
      </c>
      <c r="D652" t="s">
        <v>25</v>
      </c>
      <c r="E652" s="4">
        <v>3955.11</v>
      </c>
      <c r="F652">
        <v>27</v>
      </c>
      <c r="G652" t="s">
        <v>29</v>
      </c>
      <c r="H652" s="4">
        <v>1139.45</v>
      </c>
      <c r="I652" s="4">
        <v>1454.41</v>
      </c>
      <c r="J652" t="s">
        <v>17</v>
      </c>
      <c r="K652" s="2">
        <v>0.3</v>
      </c>
      <c r="L652" t="s">
        <v>27</v>
      </c>
      <c r="M652" t="s">
        <v>19</v>
      </c>
      <c r="N652" t="s">
        <v>39</v>
      </c>
      <c r="O652" s="5">
        <f t="shared" si="10"/>
        <v>8503.9200000000019</v>
      </c>
    </row>
    <row r="653" spans="1:15" x14ac:dyDescent="0.35">
      <c r="A653">
        <v>1058</v>
      </c>
      <c r="B653" s="1">
        <v>44987</v>
      </c>
      <c r="C653" t="s">
        <v>38</v>
      </c>
      <c r="D653" t="s">
        <v>34</v>
      </c>
      <c r="E653" s="4">
        <v>5463.43</v>
      </c>
      <c r="F653">
        <v>49</v>
      </c>
      <c r="G653" t="s">
        <v>16</v>
      </c>
      <c r="H653" s="4">
        <v>1307.22</v>
      </c>
      <c r="I653" s="4">
        <v>1528.4</v>
      </c>
      <c r="J653" t="s">
        <v>17</v>
      </c>
      <c r="K653" s="2">
        <v>0.24</v>
      </c>
      <c r="L653" t="s">
        <v>18</v>
      </c>
      <c r="M653" t="s">
        <v>22</v>
      </c>
      <c r="N653" t="s">
        <v>48</v>
      </c>
      <c r="O653" s="5">
        <f t="shared" si="10"/>
        <v>10837.820000000003</v>
      </c>
    </row>
    <row r="654" spans="1:15" x14ac:dyDescent="0.35">
      <c r="A654">
        <v>1039</v>
      </c>
      <c r="B654" s="1">
        <v>45104</v>
      </c>
      <c r="C654" t="s">
        <v>14</v>
      </c>
      <c r="D654" t="s">
        <v>34</v>
      </c>
      <c r="E654" s="4">
        <v>9683.85</v>
      </c>
      <c r="F654">
        <v>2</v>
      </c>
      <c r="G654" t="s">
        <v>35</v>
      </c>
      <c r="H654" s="4">
        <v>4394.58</v>
      </c>
      <c r="I654" s="4">
        <v>4545.78</v>
      </c>
      <c r="J654" t="s">
        <v>17</v>
      </c>
      <c r="K654" s="2">
        <v>0.2</v>
      </c>
      <c r="L654" t="s">
        <v>31</v>
      </c>
      <c r="M654" t="s">
        <v>22</v>
      </c>
      <c r="N654" t="s">
        <v>46</v>
      </c>
      <c r="O654" s="5">
        <f t="shared" si="10"/>
        <v>302.39999999999964</v>
      </c>
    </row>
    <row r="655" spans="1:15" x14ac:dyDescent="0.35">
      <c r="A655">
        <v>1014</v>
      </c>
      <c r="B655" s="1">
        <v>45264</v>
      </c>
      <c r="C655" t="s">
        <v>14</v>
      </c>
      <c r="D655" t="s">
        <v>21</v>
      </c>
      <c r="E655" s="4">
        <v>758.99</v>
      </c>
      <c r="F655">
        <v>49</v>
      </c>
      <c r="G655" t="s">
        <v>16</v>
      </c>
      <c r="H655" s="4">
        <v>493.35</v>
      </c>
      <c r="I655" s="4">
        <v>799.27</v>
      </c>
      <c r="J655" t="s">
        <v>30</v>
      </c>
      <c r="K655" s="2">
        <v>0.1</v>
      </c>
      <c r="L655" t="s">
        <v>27</v>
      </c>
      <c r="M655" t="s">
        <v>19</v>
      </c>
      <c r="N655" t="s">
        <v>23</v>
      </c>
      <c r="O655" s="5">
        <f t="shared" si="10"/>
        <v>14990.079999999998</v>
      </c>
    </row>
    <row r="656" spans="1:15" x14ac:dyDescent="0.35">
      <c r="A656">
        <v>1095</v>
      </c>
      <c r="B656" s="1">
        <v>44988</v>
      </c>
      <c r="C656" t="s">
        <v>38</v>
      </c>
      <c r="D656" t="s">
        <v>34</v>
      </c>
      <c r="E656" s="4">
        <v>6518.35</v>
      </c>
      <c r="F656">
        <v>16</v>
      </c>
      <c r="G656" t="s">
        <v>35</v>
      </c>
      <c r="H656" s="4">
        <v>3591.05</v>
      </c>
      <c r="I656" s="4">
        <v>3625.35</v>
      </c>
      <c r="J656" t="s">
        <v>17</v>
      </c>
      <c r="K656" s="2">
        <v>0.05</v>
      </c>
      <c r="L656" t="s">
        <v>31</v>
      </c>
      <c r="M656" t="s">
        <v>22</v>
      </c>
      <c r="N656" t="s">
        <v>48</v>
      </c>
      <c r="O656" s="5">
        <f t="shared" si="10"/>
        <v>548.79999999999563</v>
      </c>
    </row>
    <row r="657" spans="1:15" x14ac:dyDescent="0.35">
      <c r="A657">
        <v>1005</v>
      </c>
      <c r="B657" s="1">
        <v>45071</v>
      </c>
      <c r="C657" t="s">
        <v>38</v>
      </c>
      <c r="D657" t="s">
        <v>15</v>
      </c>
      <c r="E657" s="4">
        <v>833.64</v>
      </c>
      <c r="F657">
        <v>2</v>
      </c>
      <c r="G657" t="s">
        <v>29</v>
      </c>
      <c r="H657" s="4">
        <v>1392.15</v>
      </c>
      <c r="I657" s="4">
        <v>1448.54</v>
      </c>
      <c r="J657" t="s">
        <v>17</v>
      </c>
      <c r="K657" s="2">
        <v>0.02</v>
      </c>
      <c r="L657" t="s">
        <v>27</v>
      </c>
      <c r="M657" t="s">
        <v>22</v>
      </c>
      <c r="N657" t="s">
        <v>40</v>
      </c>
      <c r="O657" s="5">
        <f t="shared" si="10"/>
        <v>112.77999999999975</v>
      </c>
    </row>
    <row r="658" spans="1:15" x14ac:dyDescent="0.35">
      <c r="A658">
        <v>1035</v>
      </c>
      <c r="B658" s="1">
        <v>45142</v>
      </c>
      <c r="C658" t="s">
        <v>24</v>
      </c>
      <c r="D658" t="s">
        <v>25</v>
      </c>
      <c r="E658" s="4">
        <v>3817.14</v>
      </c>
      <c r="F658">
        <v>30</v>
      </c>
      <c r="G658" t="s">
        <v>35</v>
      </c>
      <c r="H658" s="4">
        <v>3813.62</v>
      </c>
      <c r="I658" s="4">
        <v>3839.72</v>
      </c>
      <c r="J658" t="s">
        <v>30</v>
      </c>
      <c r="K658" s="2">
        <v>0.21</v>
      </c>
      <c r="L658" t="s">
        <v>31</v>
      </c>
      <c r="M658" t="s">
        <v>19</v>
      </c>
      <c r="N658" t="s">
        <v>28</v>
      </c>
      <c r="O658" s="5">
        <f t="shared" si="10"/>
        <v>782.99999999999727</v>
      </c>
    </row>
    <row r="659" spans="1:15" x14ac:dyDescent="0.35">
      <c r="A659">
        <v>1087</v>
      </c>
      <c r="B659" s="1">
        <v>44929</v>
      </c>
      <c r="C659" t="s">
        <v>33</v>
      </c>
      <c r="D659" t="s">
        <v>34</v>
      </c>
      <c r="E659" s="4">
        <v>8057.76</v>
      </c>
      <c r="F659">
        <v>20</v>
      </c>
      <c r="G659" t="s">
        <v>16</v>
      </c>
      <c r="H659" s="4">
        <v>3625.94</v>
      </c>
      <c r="I659" s="4">
        <v>3880.53</v>
      </c>
      <c r="J659" t="s">
        <v>30</v>
      </c>
      <c r="K659" s="2">
        <v>0.24</v>
      </c>
      <c r="L659" t="s">
        <v>27</v>
      </c>
      <c r="M659" t="s">
        <v>19</v>
      </c>
      <c r="N659" t="s">
        <v>36</v>
      </c>
      <c r="O659" s="5">
        <f t="shared" si="10"/>
        <v>5091.8000000000029</v>
      </c>
    </row>
    <row r="660" spans="1:15" x14ac:dyDescent="0.35">
      <c r="A660">
        <v>1093</v>
      </c>
      <c r="B660" s="1">
        <v>45086</v>
      </c>
      <c r="C660" t="s">
        <v>14</v>
      </c>
      <c r="D660" t="s">
        <v>25</v>
      </c>
      <c r="E660" s="4">
        <v>4391.38</v>
      </c>
      <c r="F660">
        <v>38</v>
      </c>
      <c r="G660" t="s">
        <v>26</v>
      </c>
      <c r="H660" s="4">
        <v>86.59</v>
      </c>
      <c r="I660" s="4">
        <v>390.89</v>
      </c>
      <c r="J660" t="s">
        <v>17</v>
      </c>
      <c r="K660" s="2">
        <v>0.25</v>
      </c>
      <c r="L660" t="s">
        <v>31</v>
      </c>
      <c r="M660" t="s">
        <v>19</v>
      </c>
      <c r="N660" t="s">
        <v>32</v>
      </c>
      <c r="O660" s="5">
        <f t="shared" si="10"/>
        <v>11563.399999999998</v>
      </c>
    </row>
    <row r="661" spans="1:15" x14ac:dyDescent="0.35">
      <c r="A661">
        <v>1075</v>
      </c>
      <c r="B661" s="1">
        <v>45153</v>
      </c>
      <c r="C661" t="s">
        <v>33</v>
      </c>
      <c r="D661" t="s">
        <v>15</v>
      </c>
      <c r="E661" s="4">
        <v>9972.11</v>
      </c>
      <c r="F661">
        <v>28</v>
      </c>
      <c r="G661" t="s">
        <v>29</v>
      </c>
      <c r="H661" s="4">
        <v>2570.2199999999998</v>
      </c>
      <c r="I661" s="4">
        <v>2610.8399999999901</v>
      </c>
      <c r="J661" t="s">
        <v>17</v>
      </c>
      <c r="K661" s="2">
        <v>0.27</v>
      </c>
      <c r="L661" t="s">
        <v>27</v>
      </c>
      <c r="M661" t="s">
        <v>22</v>
      </c>
      <c r="N661" t="s">
        <v>53</v>
      </c>
      <c r="O661" s="5">
        <f t="shared" si="10"/>
        <v>1137.3599999997296</v>
      </c>
    </row>
    <row r="662" spans="1:15" x14ac:dyDescent="0.35">
      <c r="A662">
        <v>1018</v>
      </c>
      <c r="B662" s="1">
        <v>45195</v>
      </c>
      <c r="C662" t="s">
        <v>24</v>
      </c>
      <c r="D662" t="s">
        <v>34</v>
      </c>
      <c r="E662" s="4">
        <v>5634.69</v>
      </c>
      <c r="F662">
        <v>25</v>
      </c>
      <c r="G662" t="s">
        <v>16</v>
      </c>
      <c r="H662" s="4">
        <v>739.63</v>
      </c>
      <c r="I662" s="4">
        <v>1103.03</v>
      </c>
      <c r="J662" t="s">
        <v>30</v>
      </c>
      <c r="K662" s="2">
        <v>0.26</v>
      </c>
      <c r="L662" t="s">
        <v>27</v>
      </c>
      <c r="M662" t="s">
        <v>22</v>
      </c>
      <c r="N662" t="s">
        <v>50</v>
      </c>
      <c r="O662" s="5">
        <f t="shared" si="10"/>
        <v>9085</v>
      </c>
    </row>
    <row r="663" spans="1:15" x14ac:dyDescent="0.35">
      <c r="A663">
        <v>1076</v>
      </c>
      <c r="B663" s="1">
        <v>45046</v>
      </c>
      <c r="C663" t="s">
        <v>38</v>
      </c>
      <c r="D663" t="s">
        <v>21</v>
      </c>
      <c r="E663" s="4">
        <v>3279.51</v>
      </c>
      <c r="F663">
        <v>32</v>
      </c>
      <c r="G663" t="s">
        <v>29</v>
      </c>
      <c r="H663" s="4">
        <v>4337.82</v>
      </c>
      <c r="I663" s="4">
        <v>4460.71</v>
      </c>
      <c r="J663" t="s">
        <v>17</v>
      </c>
      <c r="K663" s="2">
        <v>0.3</v>
      </c>
      <c r="L663" t="s">
        <v>18</v>
      </c>
      <c r="M663" t="s">
        <v>22</v>
      </c>
      <c r="N663" t="s">
        <v>41</v>
      </c>
      <c r="O663" s="5">
        <f t="shared" si="10"/>
        <v>3932.4800000000105</v>
      </c>
    </row>
    <row r="664" spans="1:15" x14ac:dyDescent="0.35">
      <c r="A664">
        <v>1009</v>
      </c>
      <c r="B664" s="1">
        <v>45015</v>
      </c>
      <c r="C664" t="s">
        <v>33</v>
      </c>
      <c r="D664" t="s">
        <v>25</v>
      </c>
      <c r="E664" s="4">
        <v>2279.1</v>
      </c>
      <c r="F664">
        <v>10</v>
      </c>
      <c r="G664" t="s">
        <v>29</v>
      </c>
      <c r="H664" s="4">
        <v>4364.3500000000004</v>
      </c>
      <c r="I664" s="4">
        <v>4710.1000000000004</v>
      </c>
      <c r="J664" t="s">
        <v>30</v>
      </c>
      <c r="K664" s="2">
        <v>7.0000000000000007E-2</v>
      </c>
      <c r="L664" t="s">
        <v>31</v>
      </c>
      <c r="M664" t="s">
        <v>19</v>
      </c>
      <c r="N664" t="s">
        <v>44</v>
      </c>
      <c r="O664" s="5">
        <f t="shared" si="10"/>
        <v>3457.5</v>
      </c>
    </row>
    <row r="665" spans="1:15" x14ac:dyDescent="0.35">
      <c r="A665">
        <v>1074</v>
      </c>
      <c r="B665" s="1">
        <v>45255</v>
      </c>
      <c r="C665" t="s">
        <v>38</v>
      </c>
      <c r="D665" t="s">
        <v>15</v>
      </c>
      <c r="E665" s="4">
        <v>3570.15</v>
      </c>
      <c r="F665">
        <v>42</v>
      </c>
      <c r="G665" t="s">
        <v>16</v>
      </c>
      <c r="H665" s="4">
        <v>2120.81</v>
      </c>
      <c r="I665" s="4">
        <v>2611.94</v>
      </c>
      <c r="J665" t="s">
        <v>17</v>
      </c>
      <c r="K665" s="2">
        <v>0.23</v>
      </c>
      <c r="L665" t="s">
        <v>18</v>
      </c>
      <c r="M665" t="s">
        <v>19</v>
      </c>
      <c r="N665" t="s">
        <v>40</v>
      </c>
      <c r="O665" s="5">
        <f t="shared" si="10"/>
        <v>20627.460000000006</v>
      </c>
    </row>
    <row r="666" spans="1:15" x14ac:dyDescent="0.35">
      <c r="A666">
        <v>1058</v>
      </c>
      <c r="B666" s="1">
        <v>44994</v>
      </c>
      <c r="C666" t="s">
        <v>38</v>
      </c>
      <c r="D666" t="s">
        <v>25</v>
      </c>
      <c r="E666" s="4">
        <v>3788.08</v>
      </c>
      <c r="F666">
        <v>40</v>
      </c>
      <c r="G666" t="s">
        <v>16</v>
      </c>
      <c r="H666" s="4">
        <v>2249.7600000000002</v>
      </c>
      <c r="I666" s="4">
        <v>2598.4</v>
      </c>
      <c r="J666" t="s">
        <v>17</v>
      </c>
      <c r="K666" s="2">
        <v>0.18</v>
      </c>
      <c r="L666" t="s">
        <v>31</v>
      </c>
      <c r="M666" t="s">
        <v>22</v>
      </c>
      <c r="N666" t="s">
        <v>39</v>
      </c>
      <c r="O666" s="5">
        <f t="shared" si="10"/>
        <v>13945.599999999995</v>
      </c>
    </row>
    <row r="667" spans="1:15" x14ac:dyDescent="0.35">
      <c r="A667">
        <v>1017</v>
      </c>
      <c r="B667" s="1">
        <v>45283</v>
      </c>
      <c r="C667" t="s">
        <v>42</v>
      </c>
      <c r="D667" t="s">
        <v>34</v>
      </c>
      <c r="E667" s="4">
        <v>780.27</v>
      </c>
      <c r="F667">
        <v>33</v>
      </c>
      <c r="G667" t="s">
        <v>26</v>
      </c>
      <c r="H667" s="4">
        <v>1551.25</v>
      </c>
      <c r="I667" s="4">
        <v>1994.01</v>
      </c>
      <c r="J667" t="s">
        <v>17</v>
      </c>
      <c r="K667" s="2">
        <v>0.08</v>
      </c>
      <c r="L667" t="s">
        <v>18</v>
      </c>
      <c r="M667" t="s">
        <v>19</v>
      </c>
      <c r="N667" t="s">
        <v>52</v>
      </c>
      <c r="O667" s="5">
        <f t="shared" si="10"/>
        <v>14611.08</v>
      </c>
    </row>
    <row r="668" spans="1:15" x14ac:dyDescent="0.35">
      <c r="A668">
        <v>1007</v>
      </c>
      <c r="B668" s="1">
        <v>45024</v>
      </c>
      <c r="C668" t="s">
        <v>33</v>
      </c>
      <c r="D668" t="s">
        <v>34</v>
      </c>
      <c r="E668" s="4">
        <v>3758.78</v>
      </c>
      <c r="F668">
        <v>13</v>
      </c>
      <c r="G668" t="s">
        <v>29</v>
      </c>
      <c r="H668" s="4">
        <v>3597.2</v>
      </c>
      <c r="I668" s="4">
        <v>4071.8199999999902</v>
      </c>
      <c r="J668" t="s">
        <v>17</v>
      </c>
      <c r="K668" s="2">
        <v>0.28999999999999998</v>
      </c>
      <c r="L668" t="s">
        <v>27</v>
      </c>
      <c r="M668" t="s">
        <v>19</v>
      </c>
      <c r="N668" t="s">
        <v>36</v>
      </c>
      <c r="O668" s="5">
        <f t="shared" si="10"/>
        <v>6170.059999999874</v>
      </c>
    </row>
    <row r="669" spans="1:15" x14ac:dyDescent="0.35">
      <c r="A669">
        <v>1046</v>
      </c>
      <c r="B669" s="1">
        <v>45193</v>
      </c>
      <c r="C669" t="s">
        <v>33</v>
      </c>
      <c r="D669" t="s">
        <v>21</v>
      </c>
      <c r="E669" s="4">
        <v>4695.96</v>
      </c>
      <c r="F669">
        <v>41</v>
      </c>
      <c r="G669" t="s">
        <v>29</v>
      </c>
      <c r="H669" s="4">
        <v>1825.37</v>
      </c>
      <c r="I669" s="4">
        <v>2073.88</v>
      </c>
      <c r="J669" t="s">
        <v>17</v>
      </c>
      <c r="K669" s="2">
        <v>0.27</v>
      </c>
      <c r="L669" t="s">
        <v>18</v>
      </c>
      <c r="M669" t="s">
        <v>22</v>
      </c>
      <c r="N669" t="s">
        <v>37</v>
      </c>
      <c r="O669" s="5">
        <f t="shared" si="10"/>
        <v>10188.910000000009</v>
      </c>
    </row>
    <row r="670" spans="1:15" x14ac:dyDescent="0.35">
      <c r="A670">
        <v>1013</v>
      </c>
      <c r="B670" s="1">
        <v>45031</v>
      </c>
      <c r="C670" t="s">
        <v>38</v>
      </c>
      <c r="D670" t="s">
        <v>15</v>
      </c>
      <c r="E670" s="4">
        <v>7255.1</v>
      </c>
      <c r="F670">
        <v>42</v>
      </c>
      <c r="G670" t="s">
        <v>16</v>
      </c>
      <c r="H670" s="4">
        <v>1375.57</v>
      </c>
      <c r="I670" s="4">
        <v>1729.71</v>
      </c>
      <c r="J670" t="s">
        <v>30</v>
      </c>
      <c r="K670" s="2">
        <v>0.04</v>
      </c>
      <c r="L670" t="s">
        <v>18</v>
      </c>
      <c r="M670" t="s">
        <v>19</v>
      </c>
      <c r="N670" t="s">
        <v>40</v>
      </c>
      <c r="O670" s="5">
        <f t="shared" si="10"/>
        <v>14873.880000000005</v>
      </c>
    </row>
    <row r="671" spans="1:15" x14ac:dyDescent="0.35">
      <c r="A671">
        <v>1040</v>
      </c>
      <c r="B671" s="1">
        <v>45249</v>
      </c>
      <c r="C671" t="s">
        <v>24</v>
      </c>
      <c r="D671" t="s">
        <v>15</v>
      </c>
      <c r="E671" s="4">
        <v>6601.62</v>
      </c>
      <c r="F671">
        <v>47</v>
      </c>
      <c r="G671" t="s">
        <v>35</v>
      </c>
      <c r="H671" s="4">
        <v>2189.54</v>
      </c>
      <c r="I671" s="4">
        <v>2617</v>
      </c>
      <c r="J671" t="s">
        <v>30</v>
      </c>
      <c r="K671" s="2">
        <v>0.01</v>
      </c>
      <c r="L671" t="s">
        <v>27</v>
      </c>
      <c r="M671" t="s">
        <v>19</v>
      </c>
      <c r="N671" t="s">
        <v>45</v>
      </c>
      <c r="O671" s="5">
        <f t="shared" si="10"/>
        <v>20090.620000000003</v>
      </c>
    </row>
    <row r="672" spans="1:15" x14ac:dyDescent="0.35">
      <c r="A672">
        <v>1042</v>
      </c>
      <c r="B672" s="1">
        <v>45049</v>
      </c>
      <c r="C672" t="s">
        <v>42</v>
      </c>
      <c r="D672" t="s">
        <v>21</v>
      </c>
      <c r="E672" s="4">
        <v>7116.78</v>
      </c>
      <c r="F672">
        <v>37</v>
      </c>
      <c r="G672" t="s">
        <v>16</v>
      </c>
      <c r="H672" s="4">
        <v>502.86</v>
      </c>
      <c r="I672" s="4">
        <v>687.6</v>
      </c>
      <c r="J672" t="s">
        <v>17</v>
      </c>
      <c r="K672" s="2">
        <v>0.21</v>
      </c>
      <c r="L672" t="s">
        <v>18</v>
      </c>
      <c r="M672" t="s">
        <v>19</v>
      </c>
      <c r="N672" t="s">
        <v>51</v>
      </c>
      <c r="O672" s="5">
        <f t="shared" si="10"/>
        <v>6835.38</v>
      </c>
    </row>
    <row r="673" spans="1:15" x14ac:dyDescent="0.35">
      <c r="A673">
        <v>1009</v>
      </c>
      <c r="B673" s="1">
        <v>44955</v>
      </c>
      <c r="C673" t="s">
        <v>38</v>
      </c>
      <c r="D673" t="s">
        <v>21</v>
      </c>
      <c r="E673" s="4">
        <v>182.8</v>
      </c>
      <c r="F673">
        <v>16</v>
      </c>
      <c r="G673" t="s">
        <v>29</v>
      </c>
      <c r="H673" s="4">
        <v>3745.69</v>
      </c>
      <c r="I673" s="4">
        <v>3883.77</v>
      </c>
      <c r="J673" t="s">
        <v>17</v>
      </c>
      <c r="K673" s="2">
        <v>0.18</v>
      </c>
      <c r="L673" t="s">
        <v>27</v>
      </c>
      <c r="M673" t="s">
        <v>22</v>
      </c>
      <c r="N673" t="s">
        <v>41</v>
      </c>
      <c r="O673" s="5">
        <f t="shared" si="10"/>
        <v>2209.2799999999988</v>
      </c>
    </row>
    <row r="674" spans="1:15" x14ac:dyDescent="0.35">
      <c r="A674">
        <v>1050</v>
      </c>
      <c r="B674" s="1">
        <v>45063</v>
      </c>
      <c r="C674" t="s">
        <v>14</v>
      </c>
      <c r="D674" t="s">
        <v>15</v>
      </c>
      <c r="E674" s="4">
        <v>2254.91</v>
      </c>
      <c r="F674">
        <v>45</v>
      </c>
      <c r="G674" t="s">
        <v>16</v>
      </c>
      <c r="H674" s="4">
        <v>112.35</v>
      </c>
      <c r="I674" s="4">
        <v>586.17999999999995</v>
      </c>
      <c r="J674" t="s">
        <v>17</v>
      </c>
      <c r="K674" s="2">
        <v>0.28000000000000003</v>
      </c>
      <c r="L674" t="s">
        <v>31</v>
      </c>
      <c r="M674" t="s">
        <v>22</v>
      </c>
      <c r="N674" t="s">
        <v>20</v>
      </c>
      <c r="O674" s="5">
        <f t="shared" si="10"/>
        <v>21322.35</v>
      </c>
    </row>
    <row r="675" spans="1:15" x14ac:dyDescent="0.35">
      <c r="A675">
        <v>1027</v>
      </c>
      <c r="B675" s="1">
        <v>45121</v>
      </c>
      <c r="C675" t="s">
        <v>14</v>
      </c>
      <c r="D675" t="s">
        <v>25</v>
      </c>
      <c r="E675" s="4">
        <v>6650.67</v>
      </c>
      <c r="F675">
        <v>22</v>
      </c>
      <c r="G675" t="s">
        <v>26</v>
      </c>
      <c r="H675" s="4">
        <v>3240.2</v>
      </c>
      <c r="I675" s="4">
        <v>3606.0899999999901</v>
      </c>
      <c r="J675" t="s">
        <v>30</v>
      </c>
      <c r="K675" s="2">
        <v>7.0000000000000007E-2</v>
      </c>
      <c r="L675" t="s">
        <v>18</v>
      </c>
      <c r="M675" t="s">
        <v>19</v>
      </c>
      <c r="N675" t="s">
        <v>32</v>
      </c>
      <c r="O675" s="5">
        <f t="shared" si="10"/>
        <v>8049.5799999997871</v>
      </c>
    </row>
    <row r="676" spans="1:15" x14ac:dyDescent="0.35">
      <c r="A676">
        <v>1066</v>
      </c>
      <c r="B676" s="1">
        <v>45152</v>
      </c>
      <c r="C676" t="s">
        <v>42</v>
      </c>
      <c r="D676" t="s">
        <v>25</v>
      </c>
      <c r="E676" s="4">
        <v>4891.49</v>
      </c>
      <c r="F676">
        <v>20</v>
      </c>
      <c r="G676" t="s">
        <v>35</v>
      </c>
      <c r="H676" s="4">
        <v>955.18</v>
      </c>
      <c r="I676" s="4">
        <v>1072.82</v>
      </c>
      <c r="J676" t="s">
        <v>30</v>
      </c>
      <c r="K676" s="2">
        <v>0.03</v>
      </c>
      <c r="L676" t="s">
        <v>27</v>
      </c>
      <c r="M676" t="s">
        <v>22</v>
      </c>
      <c r="N676" t="s">
        <v>43</v>
      </c>
      <c r="O676" s="5">
        <f t="shared" si="10"/>
        <v>2352.7999999999997</v>
      </c>
    </row>
    <row r="677" spans="1:15" x14ac:dyDescent="0.35">
      <c r="A677">
        <v>1005</v>
      </c>
      <c r="B677" s="1">
        <v>45258</v>
      </c>
      <c r="C677" t="s">
        <v>24</v>
      </c>
      <c r="D677" t="s">
        <v>21</v>
      </c>
      <c r="E677" s="4">
        <v>152.6</v>
      </c>
      <c r="F677">
        <v>43</v>
      </c>
      <c r="G677" t="s">
        <v>16</v>
      </c>
      <c r="H677" s="4">
        <v>1200.4000000000001</v>
      </c>
      <c r="I677" s="4">
        <v>1430.45</v>
      </c>
      <c r="J677" t="s">
        <v>30</v>
      </c>
      <c r="K677" s="2">
        <v>0.08</v>
      </c>
      <c r="L677" t="s">
        <v>27</v>
      </c>
      <c r="M677" t="s">
        <v>22</v>
      </c>
      <c r="N677" t="s">
        <v>47</v>
      </c>
      <c r="O677" s="5">
        <f t="shared" si="10"/>
        <v>9892.1499999999978</v>
      </c>
    </row>
    <row r="678" spans="1:15" x14ac:dyDescent="0.35">
      <c r="A678">
        <v>1029</v>
      </c>
      <c r="B678" s="1">
        <v>45096</v>
      </c>
      <c r="C678" t="s">
        <v>38</v>
      </c>
      <c r="D678" t="s">
        <v>25</v>
      </c>
      <c r="E678" s="4">
        <v>8064.5</v>
      </c>
      <c r="F678">
        <v>27</v>
      </c>
      <c r="G678" t="s">
        <v>26</v>
      </c>
      <c r="H678" s="4">
        <v>3196.38</v>
      </c>
      <c r="I678" s="4">
        <v>3596.64</v>
      </c>
      <c r="J678" t="s">
        <v>30</v>
      </c>
      <c r="K678" s="2">
        <v>0.01</v>
      </c>
      <c r="L678" t="s">
        <v>18</v>
      </c>
      <c r="M678" t="s">
        <v>22</v>
      </c>
      <c r="N678" t="s">
        <v>39</v>
      </c>
      <c r="O678" s="5">
        <f t="shared" si="10"/>
        <v>10807.019999999993</v>
      </c>
    </row>
    <row r="679" spans="1:15" x14ac:dyDescent="0.35">
      <c r="A679">
        <v>1037</v>
      </c>
      <c r="B679" s="1">
        <v>44935</v>
      </c>
      <c r="C679" t="s">
        <v>33</v>
      </c>
      <c r="D679" t="s">
        <v>15</v>
      </c>
      <c r="E679" s="4">
        <v>7750.81</v>
      </c>
      <c r="F679">
        <v>41</v>
      </c>
      <c r="G679" t="s">
        <v>29</v>
      </c>
      <c r="H679" s="4">
        <v>4965.07</v>
      </c>
      <c r="I679" s="4">
        <v>5243.13</v>
      </c>
      <c r="J679" t="s">
        <v>30</v>
      </c>
      <c r="K679" s="2">
        <v>0.01</v>
      </c>
      <c r="L679" t="s">
        <v>31</v>
      </c>
      <c r="M679" t="s">
        <v>19</v>
      </c>
      <c r="N679" t="s">
        <v>53</v>
      </c>
      <c r="O679" s="5">
        <f t="shared" si="10"/>
        <v>11400.460000000017</v>
      </c>
    </row>
    <row r="680" spans="1:15" x14ac:dyDescent="0.35">
      <c r="A680">
        <v>1038</v>
      </c>
      <c r="B680" s="1">
        <v>44966</v>
      </c>
      <c r="C680" t="s">
        <v>42</v>
      </c>
      <c r="D680" t="s">
        <v>34</v>
      </c>
      <c r="E680" s="4">
        <v>5529.35</v>
      </c>
      <c r="F680">
        <v>16</v>
      </c>
      <c r="G680" t="s">
        <v>16</v>
      </c>
      <c r="H680" s="4">
        <v>3899.7</v>
      </c>
      <c r="I680" s="4">
        <v>4228.18</v>
      </c>
      <c r="J680" t="s">
        <v>30</v>
      </c>
      <c r="K680" s="2">
        <v>0.27</v>
      </c>
      <c r="L680" t="s">
        <v>18</v>
      </c>
      <c r="M680" t="s">
        <v>22</v>
      </c>
      <c r="N680" t="s">
        <v>52</v>
      </c>
      <c r="O680" s="5">
        <f t="shared" si="10"/>
        <v>5255.6800000000076</v>
      </c>
    </row>
    <row r="681" spans="1:15" x14ac:dyDescent="0.35">
      <c r="A681">
        <v>1083</v>
      </c>
      <c r="B681" s="1">
        <v>44951</v>
      </c>
      <c r="C681" t="s">
        <v>24</v>
      </c>
      <c r="D681" t="s">
        <v>34</v>
      </c>
      <c r="E681" s="4">
        <v>757.99</v>
      </c>
      <c r="F681">
        <v>34</v>
      </c>
      <c r="G681" t="s">
        <v>29</v>
      </c>
      <c r="H681" s="4">
        <v>1167.9100000000001</v>
      </c>
      <c r="I681" s="4">
        <v>1547.26</v>
      </c>
      <c r="J681" t="s">
        <v>30</v>
      </c>
      <c r="K681" s="2">
        <v>0.11</v>
      </c>
      <c r="L681" t="s">
        <v>27</v>
      </c>
      <c r="M681" t="s">
        <v>19</v>
      </c>
      <c r="N681" t="s">
        <v>50</v>
      </c>
      <c r="O681" s="5">
        <f t="shared" si="10"/>
        <v>12897.899999999998</v>
      </c>
    </row>
    <row r="682" spans="1:15" x14ac:dyDescent="0.35">
      <c r="A682">
        <v>1008</v>
      </c>
      <c r="B682" s="1">
        <v>45187</v>
      </c>
      <c r="C682" t="s">
        <v>33</v>
      </c>
      <c r="D682" t="s">
        <v>25</v>
      </c>
      <c r="E682" s="4">
        <v>7688.5</v>
      </c>
      <c r="F682">
        <v>32</v>
      </c>
      <c r="G682" t="s">
        <v>26</v>
      </c>
      <c r="H682" s="4">
        <v>921.32</v>
      </c>
      <c r="I682" s="4">
        <v>1236.0999999999999</v>
      </c>
      <c r="J682" t="s">
        <v>30</v>
      </c>
      <c r="K682" s="2">
        <v>0.12</v>
      </c>
      <c r="L682" t="s">
        <v>31</v>
      </c>
      <c r="M682" t="s">
        <v>19</v>
      </c>
      <c r="N682" t="s">
        <v>44</v>
      </c>
      <c r="O682" s="5">
        <f t="shared" si="10"/>
        <v>10072.959999999995</v>
      </c>
    </row>
    <row r="683" spans="1:15" x14ac:dyDescent="0.35">
      <c r="A683">
        <v>1065</v>
      </c>
      <c r="B683" s="1">
        <v>45152</v>
      </c>
      <c r="C683" t="s">
        <v>14</v>
      </c>
      <c r="D683" t="s">
        <v>21</v>
      </c>
      <c r="E683" s="4">
        <v>5878.76</v>
      </c>
      <c r="F683">
        <v>26</v>
      </c>
      <c r="G683" t="s">
        <v>29</v>
      </c>
      <c r="H683" s="4">
        <v>4337.8500000000004</v>
      </c>
      <c r="I683" s="4">
        <v>4612.49</v>
      </c>
      <c r="J683" t="s">
        <v>17</v>
      </c>
      <c r="K683" s="2">
        <v>0.01</v>
      </c>
      <c r="L683" t="s">
        <v>18</v>
      </c>
      <c r="M683" t="s">
        <v>22</v>
      </c>
      <c r="N683" t="s">
        <v>23</v>
      </c>
      <c r="O683" s="5">
        <f t="shared" si="10"/>
        <v>7140.6399999999849</v>
      </c>
    </row>
    <row r="684" spans="1:15" x14ac:dyDescent="0.35">
      <c r="A684">
        <v>1086</v>
      </c>
      <c r="B684" s="1">
        <v>45050</v>
      </c>
      <c r="C684" t="s">
        <v>14</v>
      </c>
      <c r="D684" t="s">
        <v>21</v>
      </c>
      <c r="E684" s="4">
        <v>7841.4</v>
      </c>
      <c r="F684">
        <v>25</v>
      </c>
      <c r="G684" t="s">
        <v>26</v>
      </c>
      <c r="H684" s="4">
        <v>2248.71</v>
      </c>
      <c r="I684" s="4">
        <v>2626.02</v>
      </c>
      <c r="J684" t="s">
        <v>30</v>
      </c>
      <c r="K684" s="2">
        <v>0.08</v>
      </c>
      <c r="L684" t="s">
        <v>27</v>
      </c>
      <c r="M684" t="s">
        <v>19</v>
      </c>
      <c r="N684" t="s">
        <v>23</v>
      </c>
      <c r="O684" s="5">
        <f t="shared" si="10"/>
        <v>9432.7499999999982</v>
      </c>
    </row>
    <row r="685" spans="1:15" x14ac:dyDescent="0.35">
      <c r="A685">
        <v>1017</v>
      </c>
      <c r="B685" s="1">
        <v>44964</v>
      </c>
      <c r="C685" t="s">
        <v>33</v>
      </c>
      <c r="D685" t="s">
        <v>21</v>
      </c>
      <c r="E685" s="4">
        <v>7542.3</v>
      </c>
      <c r="F685">
        <v>2</v>
      </c>
      <c r="G685" t="s">
        <v>26</v>
      </c>
      <c r="H685" s="4">
        <v>728.41</v>
      </c>
      <c r="I685" s="4">
        <v>1094.92</v>
      </c>
      <c r="J685" t="s">
        <v>30</v>
      </c>
      <c r="K685" s="2">
        <v>0.24</v>
      </c>
      <c r="L685" t="s">
        <v>18</v>
      </c>
      <c r="M685" t="s">
        <v>22</v>
      </c>
      <c r="N685" t="s">
        <v>37</v>
      </c>
      <c r="O685" s="5">
        <f t="shared" si="10"/>
        <v>733.02000000000021</v>
      </c>
    </row>
    <row r="686" spans="1:15" x14ac:dyDescent="0.35">
      <c r="A686">
        <v>1071</v>
      </c>
      <c r="B686" s="1">
        <v>45254</v>
      </c>
      <c r="C686" t="s">
        <v>42</v>
      </c>
      <c r="D686" t="s">
        <v>21</v>
      </c>
      <c r="E686" s="4">
        <v>8049.72</v>
      </c>
      <c r="F686">
        <v>12</v>
      </c>
      <c r="G686" t="s">
        <v>26</v>
      </c>
      <c r="H686" s="4">
        <v>4317.95</v>
      </c>
      <c r="I686" s="4">
        <v>4636.59</v>
      </c>
      <c r="J686" t="s">
        <v>30</v>
      </c>
      <c r="K686" s="2">
        <v>0.18</v>
      </c>
      <c r="L686" t="s">
        <v>31</v>
      </c>
      <c r="M686" t="s">
        <v>22</v>
      </c>
      <c r="N686" t="s">
        <v>51</v>
      </c>
      <c r="O686" s="5">
        <f t="shared" si="10"/>
        <v>3823.6800000000039</v>
      </c>
    </row>
    <row r="687" spans="1:15" x14ac:dyDescent="0.35">
      <c r="A687">
        <v>1089</v>
      </c>
      <c r="B687" s="1">
        <v>45177</v>
      </c>
      <c r="C687" t="s">
        <v>14</v>
      </c>
      <c r="D687" t="s">
        <v>21</v>
      </c>
      <c r="E687" s="4">
        <v>5228.28</v>
      </c>
      <c r="F687">
        <v>40</v>
      </c>
      <c r="G687" t="s">
        <v>16</v>
      </c>
      <c r="H687" s="4">
        <v>4089.66</v>
      </c>
      <c r="I687" s="4">
        <v>4275.96</v>
      </c>
      <c r="J687" t="s">
        <v>30</v>
      </c>
      <c r="K687" s="2">
        <v>0.23</v>
      </c>
      <c r="L687" t="s">
        <v>31</v>
      </c>
      <c r="M687" t="s">
        <v>19</v>
      </c>
      <c r="N687" t="s">
        <v>23</v>
      </c>
      <c r="O687" s="5">
        <f t="shared" si="10"/>
        <v>7452.0000000000073</v>
      </c>
    </row>
    <row r="688" spans="1:15" x14ac:dyDescent="0.35">
      <c r="A688">
        <v>1045</v>
      </c>
      <c r="B688" s="1">
        <v>45102</v>
      </c>
      <c r="C688" t="s">
        <v>38</v>
      </c>
      <c r="D688" t="s">
        <v>25</v>
      </c>
      <c r="E688" s="4">
        <v>1489.21</v>
      </c>
      <c r="F688">
        <v>9</v>
      </c>
      <c r="G688" t="s">
        <v>29</v>
      </c>
      <c r="H688" s="4">
        <v>4920.34</v>
      </c>
      <c r="I688" s="4">
        <v>5129.1899999999996</v>
      </c>
      <c r="J688" t="s">
        <v>17</v>
      </c>
      <c r="K688" s="2">
        <v>0.13</v>
      </c>
      <c r="L688" t="s">
        <v>31</v>
      </c>
      <c r="M688" t="s">
        <v>19</v>
      </c>
      <c r="N688" t="s">
        <v>39</v>
      </c>
      <c r="O688" s="5">
        <f t="shared" si="10"/>
        <v>1879.6499999999951</v>
      </c>
    </row>
    <row r="689" spans="1:15" x14ac:dyDescent="0.35">
      <c r="A689">
        <v>1004</v>
      </c>
      <c r="B689" s="1">
        <v>45016</v>
      </c>
      <c r="C689" t="s">
        <v>33</v>
      </c>
      <c r="D689" t="s">
        <v>34</v>
      </c>
      <c r="E689" s="4">
        <v>6744.46</v>
      </c>
      <c r="F689">
        <v>12</v>
      </c>
      <c r="G689" t="s">
        <v>29</v>
      </c>
      <c r="H689" s="4">
        <v>4553.2299999999996</v>
      </c>
      <c r="I689" s="4">
        <v>5038.74</v>
      </c>
      <c r="J689" t="s">
        <v>30</v>
      </c>
      <c r="K689" s="2">
        <v>0.09</v>
      </c>
      <c r="L689" t="s">
        <v>31</v>
      </c>
      <c r="M689" t="s">
        <v>22</v>
      </c>
      <c r="N689" t="s">
        <v>36</v>
      </c>
      <c r="O689" s="5">
        <f t="shared" si="10"/>
        <v>5826.1200000000026</v>
      </c>
    </row>
    <row r="690" spans="1:15" x14ac:dyDescent="0.35">
      <c r="A690">
        <v>1036</v>
      </c>
      <c r="B690" s="1">
        <v>44963</v>
      </c>
      <c r="C690" t="s">
        <v>33</v>
      </c>
      <c r="D690" t="s">
        <v>34</v>
      </c>
      <c r="E690" s="4">
        <v>6242.69</v>
      </c>
      <c r="F690">
        <v>26</v>
      </c>
      <c r="G690" t="s">
        <v>35</v>
      </c>
      <c r="H690" s="4">
        <v>4266.3599999999997</v>
      </c>
      <c r="I690" s="4">
        <v>4331.4299999999903</v>
      </c>
      <c r="J690" t="s">
        <v>17</v>
      </c>
      <c r="K690" s="2">
        <v>0.14000000000000001</v>
      </c>
      <c r="L690" t="s">
        <v>31</v>
      </c>
      <c r="M690" t="s">
        <v>22</v>
      </c>
      <c r="N690" t="s">
        <v>36</v>
      </c>
      <c r="O690" s="5">
        <f t="shared" si="10"/>
        <v>1691.819999999756</v>
      </c>
    </row>
    <row r="691" spans="1:15" x14ac:dyDescent="0.35">
      <c r="A691">
        <v>1070</v>
      </c>
      <c r="B691" s="1">
        <v>45242</v>
      </c>
      <c r="C691" t="s">
        <v>14</v>
      </c>
      <c r="D691" t="s">
        <v>25</v>
      </c>
      <c r="E691" s="4">
        <v>7448.31</v>
      </c>
      <c r="F691">
        <v>9</v>
      </c>
      <c r="G691" t="s">
        <v>35</v>
      </c>
      <c r="H691" s="4">
        <v>310.24</v>
      </c>
      <c r="I691" s="4">
        <v>451.81</v>
      </c>
      <c r="J691" t="s">
        <v>17</v>
      </c>
      <c r="K691" s="2">
        <v>0.1</v>
      </c>
      <c r="L691" t="s">
        <v>18</v>
      </c>
      <c r="M691" t="s">
        <v>22</v>
      </c>
      <c r="N691" t="s">
        <v>32</v>
      </c>
      <c r="O691" s="5">
        <f t="shared" si="10"/>
        <v>1274.1299999999999</v>
      </c>
    </row>
    <row r="692" spans="1:15" x14ac:dyDescent="0.35">
      <c r="A692">
        <v>1031</v>
      </c>
      <c r="B692" s="1">
        <v>45102</v>
      </c>
      <c r="C692" t="s">
        <v>42</v>
      </c>
      <c r="D692" t="s">
        <v>21</v>
      </c>
      <c r="E692" s="4">
        <v>1781.82</v>
      </c>
      <c r="F692">
        <v>10</v>
      </c>
      <c r="G692" t="s">
        <v>35</v>
      </c>
      <c r="H692" s="4">
        <v>566.86</v>
      </c>
      <c r="I692" s="4">
        <v>818.14</v>
      </c>
      <c r="J692" t="s">
        <v>17</v>
      </c>
      <c r="K692" s="2">
        <v>0.25</v>
      </c>
      <c r="L692" t="s">
        <v>31</v>
      </c>
      <c r="M692" t="s">
        <v>22</v>
      </c>
      <c r="N692" t="s">
        <v>51</v>
      </c>
      <c r="O692" s="5">
        <f t="shared" si="10"/>
        <v>2512.7999999999997</v>
      </c>
    </row>
    <row r="693" spans="1:15" x14ac:dyDescent="0.35">
      <c r="A693">
        <v>1019</v>
      </c>
      <c r="B693" s="1">
        <v>45210</v>
      </c>
      <c r="C693" t="s">
        <v>38</v>
      </c>
      <c r="D693" t="s">
        <v>25</v>
      </c>
      <c r="E693" s="4">
        <v>2030.25</v>
      </c>
      <c r="F693">
        <v>32</v>
      </c>
      <c r="G693" t="s">
        <v>35</v>
      </c>
      <c r="H693" s="4">
        <v>2866.47</v>
      </c>
      <c r="I693" s="4">
        <v>3286.47</v>
      </c>
      <c r="J693" t="s">
        <v>30</v>
      </c>
      <c r="K693" s="2">
        <v>0.09</v>
      </c>
      <c r="L693" t="s">
        <v>31</v>
      </c>
      <c r="M693" t="s">
        <v>19</v>
      </c>
      <c r="N693" t="s">
        <v>39</v>
      </c>
      <c r="O693" s="5">
        <f t="shared" si="10"/>
        <v>13440</v>
      </c>
    </row>
    <row r="694" spans="1:15" x14ac:dyDescent="0.35">
      <c r="A694">
        <v>1061</v>
      </c>
      <c r="B694" s="1">
        <v>45007</v>
      </c>
      <c r="C694" t="s">
        <v>42</v>
      </c>
      <c r="D694" t="s">
        <v>34</v>
      </c>
      <c r="E694" s="4">
        <v>8915.0499999999993</v>
      </c>
      <c r="F694">
        <v>34</v>
      </c>
      <c r="G694" t="s">
        <v>29</v>
      </c>
      <c r="H694" s="4">
        <v>2680.82</v>
      </c>
      <c r="I694" s="4">
        <v>2771.02</v>
      </c>
      <c r="J694" t="s">
        <v>30</v>
      </c>
      <c r="K694" s="2">
        <v>0.2</v>
      </c>
      <c r="L694" t="s">
        <v>27</v>
      </c>
      <c r="M694" t="s">
        <v>19</v>
      </c>
      <c r="N694" t="s">
        <v>52</v>
      </c>
      <c r="O694" s="5">
        <f t="shared" si="10"/>
        <v>3066.7999999999938</v>
      </c>
    </row>
    <row r="695" spans="1:15" x14ac:dyDescent="0.35">
      <c r="A695">
        <v>1054</v>
      </c>
      <c r="B695" s="1">
        <v>45040</v>
      </c>
      <c r="C695" t="s">
        <v>24</v>
      </c>
      <c r="D695" t="s">
        <v>15</v>
      </c>
      <c r="E695" s="4">
        <v>7524.78</v>
      </c>
      <c r="F695">
        <v>48</v>
      </c>
      <c r="G695" t="s">
        <v>26</v>
      </c>
      <c r="H695" s="4">
        <v>2316.92</v>
      </c>
      <c r="I695" s="4">
        <v>2462.63</v>
      </c>
      <c r="J695" t="s">
        <v>30</v>
      </c>
      <c r="K695" s="2">
        <v>0.04</v>
      </c>
      <c r="L695" t="s">
        <v>31</v>
      </c>
      <c r="M695" t="s">
        <v>19</v>
      </c>
      <c r="N695" t="s">
        <v>45</v>
      </c>
      <c r="O695" s="5">
        <f t="shared" si="10"/>
        <v>6994.0800000000017</v>
      </c>
    </row>
    <row r="696" spans="1:15" x14ac:dyDescent="0.35">
      <c r="A696">
        <v>1039</v>
      </c>
      <c r="B696" s="1">
        <v>44966</v>
      </c>
      <c r="C696" t="s">
        <v>24</v>
      </c>
      <c r="D696" t="s">
        <v>25</v>
      </c>
      <c r="E696" s="4">
        <v>9091.4599999999991</v>
      </c>
      <c r="F696">
        <v>20</v>
      </c>
      <c r="G696" t="s">
        <v>26</v>
      </c>
      <c r="H696" s="4">
        <v>2014.11</v>
      </c>
      <c r="I696" s="4">
        <v>2056.35</v>
      </c>
      <c r="J696" t="s">
        <v>17</v>
      </c>
      <c r="K696" s="2">
        <v>0.21</v>
      </c>
      <c r="L696" t="s">
        <v>27</v>
      </c>
      <c r="M696" t="s">
        <v>22</v>
      </c>
      <c r="N696" t="s">
        <v>28</v>
      </c>
      <c r="O696" s="5">
        <f t="shared" si="10"/>
        <v>844.80000000000018</v>
      </c>
    </row>
    <row r="697" spans="1:15" x14ac:dyDescent="0.35">
      <c r="A697">
        <v>1091</v>
      </c>
      <c r="B697" s="1">
        <v>45227</v>
      </c>
      <c r="C697" t="s">
        <v>14</v>
      </c>
      <c r="D697" t="s">
        <v>21</v>
      </c>
      <c r="E697" s="4">
        <v>7611.28</v>
      </c>
      <c r="F697">
        <v>39</v>
      </c>
      <c r="G697" t="s">
        <v>16</v>
      </c>
      <c r="H697" s="4">
        <v>2184.4899999999998</v>
      </c>
      <c r="I697" s="4">
        <v>2540.4199999999901</v>
      </c>
      <c r="J697" t="s">
        <v>17</v>
      </c>
      <c r="K697" s="2">
        <v>0.27</v>
      </c>
      <c r="L697" t="s">
        <v>27</v>
      </c>
      <c r="M697" t="s">
        <v>19</v>
      </c>
      <c r="N697" t="s">
        <v>23</v>
      </c>
      <c r="O697" s="5">
        <f t="shared" si="10"/>
        <v>13881.269999999622</v>
      </c>
    </row>
    <row r="698" spans="1:15" x14ac:dyDescent="0.35">
      <c r="A698">
        <v>1074</v>
      </c>
      <c r="B698" s="1">
        <v>45150</v>
      </c>
      <c r="C698" t="s">
        <v>14</v>
      </c>
      <c r="D698" t="s">
        <v>34</v>
      </c>
      <c r="E698" s="4">
        <v>6011.84</v>
      </c>
      <c r="F698">
        <v>2</v>
      </c>
      <c r="G698" t="s">
        <v>26</v>
      </c>
      <c r="H698" s="4">
        <v>2868.02</v>
      </c>
      <c r="I698" s="4">
        <v>2994.74</v>
      </c>
      <c r="J698" t="s">
        <v>17</v>
      </c>
      <c r="K698" s="2">
        <v>0.18</v>
      </c>
      <c r="L698" t="s">
        <v>27</v>
      </c>
      <c r="M698" t="s">
        <v>19</v>
      </c>
      <c r="N698" t="s">
        <v>46</v>
      </c>
      <c r="O698" s="5">
        <f t="shared" si="10"/>
        <v>253.4399999999996</v>
      </c>
    </row>
    <row r="699" spans="1:15" x14ac:dyDescent="0.35">
      <c r="A699">
        <v>1090</v>
      </c>
      <c r="B699" s="1">
        <v>45244</v>
      </c>
      <c r="C699" t="s">
        <v>14</v>
      </c>
      <c r="D699" t="s">
        <v>34</v>
      </c>
      <c r="E699" s="4">
        <v>6575.91</v>
      </c>
      <c r="F699">
        <v>1</v>
      </c>
      <c r="G699" t="s">
        <v>29</v>
      </c>
      <c r="H699" s="4">
        <v>60.28</v>
      </c>
      <c r="I699" s="4">
        <v>260.73</v>
      </c>
      <c r="J699" t="s">
        <v>17</v>
      </c>
      <c r="K699" s="2">
        <v>0.17</v>
      </c>
      <c r="L699" t="s">
        <v>18</v>
      </c>
      <c r="M699" t="s">
        <v>19</v>
      </c>
      <c r="N699" t="s">
        <v>46</v>
      </c>
      <c r="O699" s="5">
        <f t="shared" si="10"/>
        <v>200.45000000000002</v>
      </c>
    </row>
    <row r="700" spans="1:15" x14ac:dyDescent="0.35">
      <c r="A700">
        <v>1019</v>
      </c>
      <c r="B700" s="1">
        <v>45275</v>
      </c>
      <c r="C700" t="s">
        <v>24</v>
      </c>
      <c r="D700" t="s">
        <v>34</v>
      </c>
      <c r="E700" s="4">
        <v>8902.3700000000008</v>
      </c>
      <c r="F700">
        <v>36</v>
      </c>
      <c r="G700" t="s">
        <v>29</v>
      </c>
      <c r="H700" s="4">
        <v>1340.51</v>
      </c>
      <c r="I700" s="4">
        <v>1567.92</v>
      </c>
      <c r="J700" t="s">
        <v>30</v>
      </c>
      <c r="K700" s="2">
        <v>0.28999999999999998</v>
      </c>
      <c r="L700" t="s">
        <v>18</v>
      </c>
      <c r="M700" t="s">
        <v>19</v>
      </c>
      <c r="N700" t="s">
        <v>50</v>
      </c>
      <c r="O700" s="5">
        <f t="shared" si="10"/>
        <v>8186.7600000000029</v>
      </c>
    </row>
    <row r="701" spans="1:15" x14ac:dyDescent="0.35">
      <c r="A701">
        <v>1039</v>
      </c>
      <c r="B701" s="1">
        <v>45041</v>
      </c>
      <c r="C701" t="s">
        <v>42</v>
      </c>
      <c r="D701" t="s">
        <v>34</v>
      </c>
      <c r="E701" s="4">
        <v>5830.19</v>
      </c>
      <c r="F701">
        <v>24</v>
      </c>
      <c r="G701" t="s">
        <v>29</v>
      </c>
      <c r="H701" s="4">
        <v>2615.48</v>
      </c>
      <c r="I701" s="4">
        <v>3062.22</v>
      </c>
      <c r="J701" t="s">
        <v>30</v>
      </c>
      <c r="K701" s="2">
        <v>0.19</v>
      </c>
      <c r="L701" t="s">
        <v>27</v>
      </c>
      <c r="M701" t="s">
        <v>22</v>
      </c>
      <c r="N701" t="s">
        <v>52</v>
      </c>
      <c r="O701" s="5">
        <f t="shared" si="10"/>
        <v>10721.759999999995</v>
      </c>
    </row>
    <row r="702" spans="1:15" x14ac:dyDescent="0.35">
      <c r="A702">
        <v>1067</v>
      </c>
      <c r="B702" s="1">
        <v>45112</v>
      </c>
      <c r="C702" t="s">
        <v>42</v>
      </c>
      <c r="D702" t="s">
        <v>21</v>
      </c>
      <c r="E702" s="4">
        <v>6360.67</v>
      </c>
      <c r="F702">
        <v>27</v>
      </c>
      <c r="G702" t="s">
        <v>16</v>
      </c>
      <c r="H702" s="4">
        <v>3624.97</v>
      </c>
      <c r="I702" s="4">
        <v>3836.52</v>
      </c>
      <c r="J702" t="s">
        <v>30</v>
      </c>
      <c r="K702" s="2">
        <v>0.08</v>
      </c>
      <c r="L702" t="s">
        <v>18</v>
      </c>
      <c r="M702" t="s">
        <v>19</v>
      </c>
      <c r="N702" t="s">
        <v>51</v>
      </c>
      <c r="O702" s="5">
        <f t="shared" si="10"/>
        <v>5711.8500000000049</v>
      </c>
    </row>
    <row r="703" spans="1:15" x14ac:dyDescent="0.35">
      <c r="A703">
        <v>1045</v>
      </c>
      <c r="B703" s="1">
        <v>45249</v>
      </c>
      <c r="C703" t="s">
        <v>14</v>
      </c>
      <c r="D703" t="s">
        <v>15</v>
      </c>
      <c r="E703" s="4">
        <v>1649.12</v>
      </c>
      <c r="F703">
        <v>2</v>
      </c>
      <c r="G703" t="s">
        <v>35</v>
      </c>
      <c r="H703" s="4">
        <v>912.08</v>
      </c>
      <c r="I703" s="4">
        <v>993.24</v>
      </c>
      <c r="J703" t="s">
        <v>17</v>
      </c>
      <c r="K703" s="2">
        <v>0.09</v>
      </c>
      <c r="L703" t="s">
        <v>31</v>
      </c>
      <c r="M703" t="s">
        <v>19</v>
      </c>
      <c r="N703" t="s">
        <v>20</v>
      </c>
      <c r="O703" s="5">
        <f t="shared" si="10"/>
        <v>162.31999999999994</v>
      </c>
    </row>
    <row r="704" spans="1:15" x14ac:dyDescent="0.35">
      <c r="A704">
        <v>1013</v>
      </c>
      <c r="B704" s="1">
        <v>44982</v>
      </c>
      <c r="C704" t="s">
        <v>38</v>
      </c>
      <c r="D704" t="s">
        <v>34</v>
      </c>
      <c r="E704" s="4">
        <v>4791.82</v>
      </c>
      <c r="F704">
        <v>31</v>
      </c>
      <c r="G704" t="s">
        <v>26</v>
      </c>
      <c r="H704" s="4">
        <v>2757.06</v>
      </c>
      <c r="I704" s="4">
        <v>3023.97</v>
      </c>
      <c r="J704" t="s">
        <v>17</v>
      </c>
      <c r="K704" s="2">
        <v>0.21</v>
      </c>
      <c r="L704" t="s">
        <v>18</v>
      </c>
      <c r="M704" t="s">
        <v>19</v>
      </c>
      <c r="N704" t="s">
        <v>48</v>
      </c>
      <c r="O704" s="5">
        <f t="shared" si="10"/>
        <v>8274.2099999999955</v>
      </c>
    </row>
    <row r="705" spans="1:15" x14ac:dyDescent="0.35">
      <c r="A705">
        <v>1092</v>
      </c>
      <c r="B705" s="1">
        <v>44966</v>
      </c>
      <c r="C705" t="s">
        <v>42</v>
      </c>
      <c r="D705" t="s">
        <v>25</v>
      </c>
      <c r="E705" s="4">
        <v>7192.33</v>
      </c>
      <c r="F705">
        <v>14</v>
      </c>
      <c r="G705" t="s">
        <v>29</v>
      </c>
      <c r="H705" s="4">
        <v>3586.58</v>
      </c>
      <c r="I705" s="4">
        <v>4068.43</v>
      </c>
      <c r="J705" t="s">
        <v>30</v>
      </c>
      <c r="K705" s="2">
        <v>0.22</v>
      </c>
      <c r="L705" t="s">
        <v>31</v>
      </c>
      <c r="M705" t="s">
        <v>19</v>
      </c>
      <c r="N705" t="s">
        <v>43</v>
      </c>
      <c r="O705" s="5">
        <f t="shared" si="10"/>
        <v>6745.8999999999987</v>
      </c>
    </row>
    <row r="706" spans="1:15" x14ac:dyDescent="0.35">
      <c r="A706">
        <v>1058</v>
      </c>
      <c r="B706" s="1">
        <v>45280</v>
      </c>
      <c r="C706" t="s">
        <v>24</v>
      </c>
      <c r="D706" t="s">
        <v>15</v>
      </c>
      <c r="E706" s="4">
        <v>2782.33</v>
      </c>
      <c r="F706">
        <v>2</v>
      </c>
      <c r="G706" t="s">
        <v>29</v>
      </c>
      <c r="H706" s="4">
        <v>2250.91</v>
      </c>
      <c r="I706" s="4">
        <v>2558.6799999999998</v>
      </c>
      <c r="J706" t="s">
        <v>30</v>
      </c>
      <c r="K706" s="2">
        <v>0.09</v>
      </c>
      <c r="L706" t="s">
        <v>31</v>
      </c>
      <c r="M706" t="s">
        <v>22</v>
      </c>
      <c r="N706" t="s">
        <v>45</v>
      </c>
      <c r="O706" s="5">
        <f t="shared" ref="O706:O769" si="11">(I706-H706)*F706</f>
        <v>615.54</v>
      </c>
    </row>
    <row r="707" spans="1:15" x14ac:dyDescent="0.35">
      <c r="A707">
        <v>1020</v>
      </c>
      <c r="B707" s="1">
        <v>44966</v>
      </c>
      <c r="C707" t="s">
        <v>33</v>
      </c>
      <c r="D707" t="s">
        <v>34</v>
      </c>
      <c r="E707" s="4">
        <v>2102.3200000000002</v>
      </c>
      <c r="F707">
        <v>29</v>
      </c>
      <c r="G707" t="s">
        <v>35</v>
      </c>
      <c r="H707" s="4">
        <v>184.05</v>
      </c>
      <c r="I707" s="4">
        <v>675.91</v>
      </c>
      <c r="J707" t="s">
        <v>17</v>
      </c>
      <c r="K707" s="2">
        <v>0.1</v>
      </c>
      <c r="L707" t="s">
        <v>18</v>
      </c>
      <c r="M707" t="s">
        <v>22</v>
      </c>
      <c r="N707" t="s">
        <v>36</v>
      </c>
      <c r="O707" s="5">
        <f t="shared" si="11"/>
        <v>14263.939999999999</v>
      </c>
    </row>
    <row r="708" spans="1:15" x14ac:dyDescent="0.35">
      <c r="A708">
        <v>1092</v>
      </c>
      <c r="B708" s="1">
        <v>45273</v>
      </c>
      <c r="C708" t="s">
        <v>33</v>
      </c>
      <c r="D708" t="s">
        <v>15</v>
      </c>
      <c r="E708" s="4">
        <v>3206.89</v>
      </c>
      <c r="F708">
        <v>15</v>
      </c>
      <c r="G708" t="s">
        <v>29</v>
      </c>
      <c r="H708" s="4">
        <v>2273.88</v>
      </c>
      <c r="I708" s="4">
        <v>2696.02</v>
      </c>
      <c r="J708" t="s">
        <v>30</v>
      </c>
      <c r="K708" s="2">
        <v>0.3</v>
      </c>
      <c r="L708" t="s">
        <v>18</v>
      </c>
      <c r="M708" t="s">
        <v>19</v>
      </c>
      <c r="N708" t="s">
        <v>53</v>
      </c>
      <c r="O708" s="5">
        <f t="shared" si="11"/>
        <v>6332.0999999999985</v>
      </c>
    </row>
    <row r="709" spans="1:15" x14ac:dyDescent="0.35">
      <c r="A709">
        <v>1072</v>
      </c>
      <c r="B709" s="1">
        <v>45163</v>
      </c>
      <c r="C709" t="s">
        <v>33</v>
      </c>
      <c r="D709" t="s">
        <v>25</v>
      </c>
      <c r="E709" s="4">
        <v>2490.86</v>
      </c>
      <c r="F709">
        <v>12</v>
      </c>
      <c r="G709" t="s">
        <v>26</v>
      </c>
      <c r="H709" s="4">
        <v>1517.4</v>
      </c>
      <c r="I709" s="4">
        <v>1545.02</v>
      </c>
      <c r="J709" t="s">
        <v>30</v>
      </c>
      <c r="K709" s="2">
        <v>0.03</v>
      </c>
      <c r="L709" t="s">
        <v>27</v>
      </c>
      <c r="M709" t="s">
        <v>22</v>
      </c>
      <c r="N709" t="s">
        <v>44</v>
      </c>
      <c r="O709" s="5">
        <f t="shared" si="11"/>
        <v>331.43999999999869</v>
      </c>
    </row>
    <row r="710" spans="1:15" x14ac:dyDescent="0.35">
      <c r="A710">
        <v>1061</v>
      </c>
      <c r="B710" s="1">
        <v>45215</v>
      </c>
      <c r="C710" t="s">
        <v>38</v>
      </c>
      <c r="D710" t="s">
        <v>34</v>
      </c>
      <c r="E710" s="4">
        <v>2227.64</v>
      </c>
      <c r="F710">
        <v>37</v>
      </c>
      <c r="G710" t="s">
        <v>16</v>
      </c>
      <c r="H710" s="4">
        <v>4651.7700000000004</v>
      </c>
      <c r="I710" s="4">
        <v>4984.3900000000003</v>
      </c>
      <c r="J710" t="s">
        <v>17</v>
      </c>
      <c r="K710" s="2">
        <v>0.12</v>
      </c>
      <c r="L710" t="s">
        <v>18</v>
      </c>
      <c r="M710" t="s">
        <v>22</v>
      </c>
      <c r="N710" t="s">
        <v>48</v>
      </c>
      <c r="O710" s="5">
        <f t="shared" si="11"/>
        <v>12306.939999999995</v>
      </c>
    </row>
    <row r="711" spans="1:15" x14ac:dyDescent="0.35">
      <c r="A711">
        <v>1039</v>
      </c>
      <c r="B711" s="1">
        <v>45188</v>
      </c>
      <c r="C711" t="s">
        <v>14</v>
      </c>
      <c r="D711" t="s">
        <v>25</v>
      </c>
      <c r="E711" s="4">
        <v>4306.0200000000004</v>
      </c>
      <c r="F711">
        <v>28</v>
      </c>
      <c r="G711" t="s">
        <v>29</v>
      </c>
      <c r="H711" s="4">
        <v>666.84</v>
      </c>
      <c r="I711" s="4">
        <v>817.36</v>
      </c>
      <c r="J711" t="s">
        <v>17</v>
      </c>
      <c r="K711" s="2">
        <v>0.02</v>
      </c>
      <c r="L711" t="s">
        <v>18</v>
      </c>
      <c r="M711" t="s">
        <v>22</v>
      </c>
      <c r="N711" t="s">
        <v>32</v>
      </c>
      <c r="O711" s="5">
        <f t="shared" si="11"/>
        <v>4214.5599999999995</v>
      </c>
    </row>
    <row r="712" spans="1:15" x14ac:dyDescent="0.35">
      <c r="A712">
        <v>1001</v>
      </c>
      <c r="B712" s="1">
        <v>45142</v>
      </c>
      <c r="C712" t="s">
        <v>24</v>
      </c>
      <c r="D712" t="s">
        <v>21</v>
      </c>
      <c r="E712" s="4">
        <v>9087.6</v>
      </c>
      <c r="F712">
        <v>20</v>
      </c>
      <c r="G712" t="s">
        <v>26</v>
      </c>
      <c r="H712" s="4">
        <v>3279.76</v>
      </c>
      <c r="I712" s="4">
        <v>3563.97</v>
      </c>
      <c r="J712" t="s">
        <v>17</v>
      </c>
      <c r="K712" s="2">
        <v>0.25</v>
      </c>
      <c r="L712" t="s">
        <v>18</v>
      </c>
      <c r="M712" t="s">
        <v>22</v>
      </c>
      <c r="N712" t="s">
        <v>47</v>
      </c>
      <c r="O712" s="5">
        <f t="shared" si="11"/>
        <v>5684.1999999999916</v>
      </c>
    </row>
    <row r="713" spans="1:15" x14ac:dyDescent="0.35">
      <c r="A713">
        <v>1003</v>
      </c>
      <c r="B713" s="1">
        <v>45073</v>
      </c>
      <c r="C713" t="s">
        <v>38</v>
      </c>
      <c r="D713" t="s">
        <v>34</v>
      </c>
      <c r="E713" s="4">
        <v>5119.8900000000003</v>
      </c>
      <c r="F713">
        <v>39</v>
      </c>
      <c r="G713" t="s">
        <v>29</v>
      </c>
      <c r="H713" s="4">
        <v>310.95999999999998</v>
      </c>
      <c r="I713" s="4">
        <v>457.84</v>
      </c>
      <c r="J713" t="s">
        <v>30</v>
      </c>
      <c r="K713" s="2">
        <v>0.03</v>
      </c>
      <c r="L713" t="s">
        <v>31</v>
      </c>
      <c r="M713" t="s">
        <v>19</v>
      </c>
      <c r="N713" t="s">
        <v>48</v>
      </c>
      <c r="O713" s="5">
        <f t="shared" si="11"/>
        <v>5728.32</v>
      </c>
    </row>
    <row r="714" spans="1:15" x14ac:dyDescent="0.35">
      <c r="A714">
        <v>1077</v>
      </c>
      <c r="B714" s="1">
        <v>45262</v>
      </c>
      <c r="C714" t="s">
        <v>24</v>
      </c>
      <c r="D714" t="s">
        <v>34</v>
      </c>
      <c r="E714" s="4">
        <v>1960.41</v>
      </c>
      <c r="F714">
        <v>24</v>
      </c>
      <c r="G714" t="s">
        <v>35</v>
      </c>
      <c r="H714" s="4">
        <v>2258.54</v>
      </c>
      <c r="I714" s="4">
        <v>2439.4899999999998</v>
      </c>
      <c r="J714" t="s">
        <v>17</v>
      </c>
      <c r="K714" s="2">
        <v>0.2</v>
      </c>
      <c r="L714" t="s">
        <v>31</v>
      </c>
      <c r="M714" t="s">
        <v>22</v>
      </c>
      <c r="N714" t="s">
        <v>50</v>
      </c>
      <c r="O714" s="5">
        <f t="shared" si="11"/>
        <v>4342.7999999999956</v>
      </c>
    </row>
    <row r="715" spans="1:15" x14ac:dyDescent="0.35">
      <c r="A715">
        <v>1062</v>
      </c>
      <c r="B715" s="1">
        <v>45018</v>
      </c>
      <c r="C715" t="s">
        <v>14</v>
      </c>
      <c r="D715" t="s">
        <v>34</v>
      </c>
      <c r="E715" s="4">
        <v>6991.95</v>
      </c>
      <c r="F715">
        <v>10</v>
      </c>
      <c r="G715" t="s">
        <v>29</v>
      </c>
      <c r="H715" s="4">
        <v>1524.88</v>
      </c>
      <c r="I715" s="4">
        <v>1636.14</v>
      </c>
      <c r="J715" t="s">
        <v>30</v>
      </c>
      <c r="K715" s="2">
        <v>0.2</v>
      </c>
      <c r="L715" t="s">
        <v>27</v>
      </c>
      <c r="M715" t="s">
        <v>19</v>
      </c>
      <c r="N715" t="s">
        <v>46</v>
      </c>
      <c r="O715" s="5">
        <f t="shared" si="11"/>
        <v>1112.5999999999999</v>
      </c>
    </row>
    <row r="716" spans="1:15" x14ac:dyDescent="0.35">
      <c r="A716">
        <v>1063</v>
      </c>
      <c r="B716" s="1">
        <v>45279</v>
      </c>
      <c r="C716" t="s">
        <v>33</v>
      </c>
      <c r="D716" t="s">
        <v>21</v>
      </c>
      <c r="E716" s="4">
        <v>3889.71</v>
      </c>
      <c r="F716">
        <v>46</v>
      </c>
      <c r="G716" t="s">
        <v>16</v>
      </c>
      <c r="H716" s="4">
        <v>2302.62</v>
      </c>
      <c r="I716" s="4">
        <v>2740.93</v>
      </c>
      <c r="J716" t="s">
        <v>17</v>
      </c>
      <c r="K716" s="2">
        <v>0.25</v>
      </c>
      <c r="L716" t="s">
        <v>27</v>
      </c>
      <c r="M716" t="s">
        <v>19</v>
      </c>
      <c r="N716" t="s">
        <v>37</v>
      </c>
      <c r="O716" s="5">
        <f t="shared" si="11"/>
        <v>20162.259999999998</v>
      </c>
    </row>
    <row r="717" spans="1:15" x14ac:dyDescent="0.35">
      <c r="A717">
        <v>1025</v>
      </c>
      <c r="B717" s="1">
        <v>44985</v>
      </c>
      <c r="C717" t="s">
        <v>14</v>
      </c>
      <c r="D717" t="s">
        <v>34</v>
      </c>
      <c r="E717" s="4">
        <v>8236.1299999999992</v>
      </c>
      <c r="F717">
        <v>14</v>
      </c>
      <c r="G717" t="s">
        <v>35</v>
      </c>
      <c r="H717" s="4">
        <v>859.59</v>
      </c>
      <c r="I717" s="4">
        <v>884.51</v>
      </c>
      <c r="J717" t="s">
        <v>30</v>
      </c>
      <c r="K717" s="2">
        <v>0.12</v>
      </c>
      <c r="L717" t="s">
        <v>27</v>
      </c>
      <c r="M717" t="s">
        <v>19</v>
      </c>
      <c r="N717" t="s">
        <v>46</v>
      </c>
      <c r="O717" s="5">
        <f t="shared" si="11"/>
        <v>348.87999999999943</v>
      </c>
    </row>
    <row r="718" spans="1:15" x14ac:dyDescent="0.35">
      <c r="A718">
        <v>1056</v>
      </c>
      <c r="B718" s="1">
        <v>44985</v>
      </c>
      <c r="C718" t="s">
        <v>38</v>
      </c>
      <c r="D718" t="s">
        <v>15</v>
      </c>
      <c r="E718" s="4">
        <v>6629.16</v>
      </c>
      <c r="F718">
        <v>37</v>
      </c>
      <c r="G718" t="s">
        <v>35</v>
      </c>
      <c r="H718" s="4">
        <v>1555.41</v>
      </c>
      <c r="I718" s="4">
        <v>1609.94</v>
      </c>
      <c r="J718" t="s">
        <v>17</v>
      </c>
      <c r="K718" s="2">
        <v>0.16</v>
      </c>
      <c r="L718" t="s">
        <v>31</v>
      </c>
      <c r="M718" t="s">
        <v>19</v>
      </c>
      <c r="N718" t="s">
        <v>40</v>
      </c>
      <c r="O718" s="5">
        <f t="shared" si="11"/>
        <v>2017.609999999999</v>
      </c>
    </row>
    <row r="719" spans="1:15" x14ac:dyDescent="0.35">
      <c r="A719">
        <v>1033</v>
      </c>
      <c r="B719" s="1">
        <v>45230</v>
      </c>
      <c r="C719" t="s">
        <v>38</v>
      </c>
      <c r="D719" t="s">
        <v>34</v>
      </c>
      <c r="E719" s="4">
        <v>7982.79</v>
      </c>
      <c r="F719">
        <v>18</v>
      </c>
      <c r="G719" t="s">
        <v>16</v>
      </c>
      <c r="H719" s="4">
        <v>3124.48</v>
      </c>
      <c r="I719" s="4">
        <v>3553.27</v>
      </c>
      <c r="J719" t="s">
        <v>17</v>
      </c>
      <c r="K719" s="2">
        <v>0.12</v>
      </c>
      <c r="L719" t="s">
        <v>18</v>
      </c>
      <c r="M719" t="s">
        <v>22</v>
      </c>
      <c r="N719" t="s">
        <v>48</v>
      </c>
      <c r="O719" s="5">
        <f t="shared" si="11"/>
        <v>7718.2199999999993</v>
      </c>
    </row>
    <row r="720" spans="1:15" x14ac:dyDescent="0.35">
      <c r="A720">
        <v>1038</v>
      </c>
      <c r="B720" s="1">
        <v>45095</v>
      </c>
      <c r="C720" t="s">
        <v>38</v>
      </c>
      <c r="D720" t="s">
        <v>21</v>
      </c>
      <c r="E720" s="4">
        <v>2792.27</v>
      </c>
      <c r="F720">
        <v>24</v>
      </c>
      <c r="G720" t="s">
        <v>29</v>
      </c>
      <c r="H720" s="4">
        <v>1543.91</v>
      </c>
      <c r="I720" s="4">
        <v>1862.88</v>
      </c>
      <c r="J720" t="s">
        <v>30</v>
      </c>
      <c r="K720" s="2">
        <v>0.09</v>
      </c>
      <c r="L720" t="s">
        <v>27</v>
      </c>
      <c r="M720" t="s">
        <v>19</v>
      </c>
      <c r="N720" t="s">
        <v>41</v>
      </c>
      <c r="O720" s="5">
        <f t="shared" si="11"/>
        <v>7655.2800000000007</v>
      </c>
    </row>
    <row r="721" spans="1:15" x14ac:dyDescent="0.35">
      <c r="A721">
        <v>1006</v>
      </c>
      <c r="B721" s="1">
        <v>45195</v>
      </c>
      <c r="C721" t="s">
        <v>14</v>
      </c>
      <c r="D721" t="s">
        <v>34</v>
      </c>
      <c r="E721" s="4">
        <v>6954.35</v>
      </c>
      <c r="F721">
        <v>14</v>
      </c>
      <c r="G721" t="s">
        <v>26</v>
      </c>
      <c r="H721" s="4">
        <v>4503.7299999999996</v>
      </c>
      <c r="I721" s="4">
        <v>4879.8799999999901</v>
      </c>
      <c r="J721" t="s">
        <v>30</v>
      </c>
      <c r="K721" s="2">
        <v>0.24</v>
      </c>
      <c r="L721" t="s">
        <v>27</v>
      </c>
      <c r="M721" t="s">
        <v>22</v>
      </c>
      <c r="N721" t="s">
        <v>46</v>
      </c>
      <c r="O721" s="5">
        <f t="shared" si="11"/>
        <v>5266.0999999998676</v>
      </c>
    </row>
    <row r="722" spans="1:15" x14ac:dyDescent="0.35">
      <c r="A722">
        <v>1058</v>
      </c>
      <c r="B722" s="1">
        <v>45289</v>
      </c>
      <c r="C722" t="s">
        <v>24</v>
      </c>
      <c r="D722" t="s">
        <v>15</v>
      </c>
      <c r="E722" s="4">
        <v>2714.21</v>
      </c>
      <c r="F722">
        <v>34</v>
      </c>
      <c r="G722" t="s">
        <v>35</v>
      </c>
      <c r="H722" s="4">
        <v>3160.61</v>
      </c>
      <c r="I722" s="4">
        <v>3273.22</v>
      </c>
      <c r="J722" t="s">
        <v>17</v>
      </c>
      <c r="K722" s="2">
        <v>0.08</v>
      </c>
      <c r="L722" t="s">
        <v>31</v>
      </c>
      <c r="M722" t="s">
        <v>22</v>
      </c>
      <c r="N722" t="s">
        <v>45</v>
      </c>
      <c r="O722" s="5">
        <f t="shared" si="11"/>
        <v>3828.7399999999889</v>
      </c>
    </row>
    <row r="723" spans="1:15" x14ac:dyDescent="0.35">
      <c r="A723">
        <v>1044</v>
      </c>
      <c r="B723" s="1">
        <v>44971</v>
      </c>
      <c r="C723" t="s">
        <v>24</v>
      </c>
      <c r="D723" t="s">
        <v>21</v>
      </c>
      <c r="E723" s="4">
        <v>9396.7800000000007</v>
      </c>
      <c r="F723">
        <v>12</v>
      </c>
      <c r="G723" t="s">
        <v>35</v>
      </c>
      <c r="H723" s="4">
        <v>2221.31</v>
      </c>
      <c r="I723" s="4">
        <v>2494.48</v>
      </c>
      <c r="J723" t="s">
        <v>17</v>
      </c>
      <c r="K723" s="2">
        <v>0.22</v>
      </c>
      <c r="L723" t="s">
        <v>27</v>
      </c>
      <c r="M723" t="s">
        <v>19</v>
      </c>
      <c r="N723" t="s">
        <v>47</v>
      </c>
      <c r="O723" s="5">
        <f t="shared" si="11"/>
        <v>3278.0400000000009</v>
      </c>
    </row>
    <row r="724" spans="1:15" x14ac:dyDescent="0.35">
      <c r="A724">
        <v>1045</v>
      </c>
      <c r="B724" s="1">
        <v>45271</v>
      </c>
      <c r="C724" t="s">
        <v>42</v>
      </c>
      <c r="D724" t="s">
        <v>21</v>
      </c>
      <c r="E724" s="4">
        <v>6400.11</v>
      </c>
      <c r="F724">
        <v>22</v>
      </c>
      <c r="G724" t="s">
        <v>29</v>
      </c>
      <c r="H724" s="4">
        <v>241.85</v>
      </c>
      <c r="I724" s="4">
        <v>613.09</v>
      </c>
      <c r="J724" t="s">
        <v>17</v>
      </c>
      <c r="K724" s="2">
        <v>0.06</v>
      </c>
      <c r="L724" t="s">
        <v>18</v>
      </c>
      <c r="M724" t="s">
        <v>19</v>
      </c>
      <c r="N724" t="s">
        <v>51</v>
      </c>
      <c r="O724" s="5">
        <f t="shared" si="11"/>
        <v>8167.2800000000007</v>
      </c>
    </row>
    <row r="725" spans="1:15" x14ac:dyDescent="0.35">
      <c r="A725">
        <v>1032</v>
      </c>
      <c r="B725" s="1">
        <v>45107</v>
      </c>
      <c r="C725" t="s">
        <v>38</v>
      </c>
      <c r="D725" t="s">
        <v>15</v>
      </c>
      <c r="E725" s="4">
        <v>3312.67</v>
      </c>
      <c r="F725">
        <v>6</v>
      </c>
      <c r="G725" t="s">
        <v>29</v>
      </c>
      <c r="H725" s="4">
        <v>2522.7600000000002</v>
      </c>
      <c r="I725" s="4">
        <v>2840.14</v>
      </c>
      <c r="J725" t="s">
        <v>17</v>
      </c>
      <c r="K725" s="2">
        <v>7.0000000000000007E-2</v>
      </c>
      <c r="L725" t="s">
        <v>31</v>
      </c>
      <c r="M725" t="s">
        <v>22</v>
      </c>
      <c r="N725" t="s">
        <v>40</v>
      </c>
      <c r="O725" s="5">
        <f t="shared" si="11"/>
        <v>1904.2799999999979</v>
      </c>
    </row>
    <row r="726" spans="1:15" x14ac:dyDescent="0.35">
      <c r="A726">
        <v>1045</v>
      </c>
      <c r="B726" s="1">
        <v>45096</v>
      </c>
      <c r="C726" t="s">
        <v>24</v>
      </c>
      <c r="D726" t="s">
        <v>15</v>
      </c>
      <c r="E726" s="4">
        <v>2768.17</v>
      </c>
      <c r="F726">
        <v>36</v>
      </c>
      <c r="G726" t="s">
        <v>35</v>
      </c>
      <c r="H726" s="4">
        <v>3835.64</v>
      </c>
      <c r="I726" s="4">
        <v>4076.77</v>
      </c>
      <c r="J726" t="s">
        <v>17</v>
      </c>
      <c r="K726" s="2">
        <v>0.1</v>
      </c>
      <c r="L726" t="s">
        <v>31</v>
      </c>
      <c r="M726" t="s">
        <v>22</v>
      </c>
      <c r="N726" t="s">
        <v>45</v>
      </c>
      <c r="O726" s="5">
        <f t="shared" si="11"/>
        <v>8680.6800000000039</v>
      </c>
    </row>
    <row r="727" spans="1:15" x14ac:dyDescent="0.35">
      <c r="A727">
        <v>1061</v>
      </c>
      <c r="B727" s="1">
        <v>45282</v>
      </c>
      <c r="C727" t="s">
        <v>42</v>
      </c>
      <c r="D727" t="s">
        <v>15</v>
      </c>
      <c r="E727" s="4">
        <v>1990.17</v>
      </c>
      <c r="F727">
        <v>45</v>
      </c>
      <c r="G727" t="s">
        <v>29</v>
      </c>
      <c r="H727" s="4">
        <v>1364.51</v>
      </c>
      <c r="I727" s="4">
        <v>1844.8</v>
      </c>
      <c r="J727" t="s">
        <v>17</v>
      </c>
      <c r="K727" s="2">
        <v>0.18</v>
      </c>
      <c r="L727" t="s">
        <v>18</v>
      </c>
      <c r="M727" t="s">
        <v>19</v>
      </c>
      <c r="N727" t="s">
        <v>49</v>
      </c>
      <c r="O727" s="5">
        <f t="shared" si="11"/>
        <v>21613.05</v>
      </c>
    </row>
    <row r="728" spans="1:15" x14ac:dyDescent="0.35">
      <c r="A728">
        <v>1047</v>
      </c>
      <c r="B728" s="1">
        <v>45117</v>
      </c>
      <c r="C728" t="s">
        <v>24</v>
      </c>
      <c r="D728" t="s">
        <v>15</v>
      </c>
      <c r="E728" s="4">
        <v>6976.95</v>
      </c>
      <c r="F728">
        <v>36</v>
      </c>
      <c r="G728" t="s">
        <v>26</v>
      </c>
      <c r="H728" s="4">
        <v>4043.53</v>
      </c>
      <c r="I728" s="4">
        <v>4384.8500000000004</v>
      </c>
      <c r="J728" t="s">
        <v>30</v>
      </c>
      <c r="K728" s="2">
        <v>0.14000000000000001</v>
      </c>
      <c r="L728" t="s">
        <v>18</v>
      </c>
      <c r="M728" t="s">
        <v>19</v>
      </c>
      <c r="N728" t="s">
        <v>45</v>
      </c>
      <c r="O728" s="5">
        <f t="shared" si="11"/>
        <v>12287.520000000006</v>
      </c>
    </row>
    <row r="729" spans="1:15" x14ac:dyDescent="0.35">
      <c r="A729">
        <v>1021</v>
      </c>
      <c r="B729" s="1">
        <v>45081</v>
      </c>
      <c r="C729" t="s">
        <v>38</v>
      </c>
      <c r="D729" t="s">
        <v>15</v>
      </c>
      <c r="E729" s="4">
        <v>2265.2800000000002</v>
      </c>
      <c r="F729">
        <v>22</v>
      </c>
      <c r="G729" t="s">
        <v>35</v>
      </c>
      <c r="H729" s="4">
        <v>1296.44</v>
      </c>
      <c r="I729" s="4">
        <v>1751.24</v>
      </c>
      <c r="J729" t="s">
        <v>30</v>
      </c>
      <c r="K729" s="2">
        <v>0.22</v>
      </c>
      <c r="L729" t="s">
        <v>18</v>
      </c>
      <c r="M729" t="s">
        <v>19</v>
      </c>
      <c r="N729" t="s">
        <v>40</v>
      </c>
      <c r="O729" s="5">
        <f t="shared" si="11"/>
        <v>10005.599999999999</v>
      </c>
    </row>
    <row r="730" spans="1:15" x14ac:dyDescent="0.35">
      <c r="A730">
        <v>1080</v>
      </c>
      <c r="B730" s="1">
        <v>45114</v>
      </c>
      <c r="C730" t="s">
        <v>33</v>
      </c>
      <c r="D730" t="s">
        <v>21</v>
      </c>
      <c r="E730" s="4">
        <v>5993.5</v>
      </c>
      <c r="F730">
        <v>14</v>
      </c>
      <c r="G730" t="s">
        <v>26</v>
      </c>
      <c r="H730" s="4">
        <v>4127.54</v>
      </c>
      <c r="I730" s="4">
        <v>4495.13</v>
      </c>
      <c r="J730" t="s">
        <v>30</v>
      </c>
      <c r="K730" s="2">
        <v>0.06</v>
      </c>
      <c r="L730" t="s">
        <v>27</v>
      </c>
      <c r="M730" t="s">
        <v>22</v>
      </c>
      <c r="N730" t="s">
        <v>37</v>
      </c>
      <c r="O730" s="5">
        <f t="shared" si="11"/>
        <v>5146.260000000002</v>
      </c>
    </row>
    <row r="731" spans="1:15" x14ac:dyDescent="0.35">
      <c r="A731">
        <v>1085</v>
      </c>
      <c r="B731" s="1">
        <v>44933</v>
      </c>
      <c r="C731" t="s">
        <v>38</v>
      </c>
      <c r="D731" t="s">
        <v>21</v>
      </c>
      <c r="E731" s="4">
        <v>2719.89</v>
      </c>
      <c r="F731">
        <v>16</v>
      </c>
      <c r="G731" t="s">
        <v>26</v>
      </c>
      <c r="H731" s="4">
        <v>472.08</v>
      </c>
      <c r="I731" s="4">
        <v>842.46</v>
      </c>
      <c r="J731" t="s">
        <v>30</v>
      </c>
      <c r="K731" s="2">
        <v>0</v>
      </c>
      <c r="L731" t="s">
        <v>18</v>
      </c>
      <c r="M731" t="s">
        <v>22</v>
      </c>
      <c r="N731" t="s">
        <v>41</v>
      </c>
      <c r="O731" s="5">
        <f t="shared" si="11"/>
        <v>5926.0800000000008</v>
      </c>
    </row>
    <row r="732" spans="1:15" x14ac:dyDescent="0.35">
      <c r="A732">
        <v>1075</v>
      </c>
      <c r="B732" s="1">
        <v>45059</v>
      </c>
      <c r="C732" t="s">
        <v>14</v>
      </c>
      <c r="D732" t="s">
        <v>34</v>
      </c>
      <c r="E732" s="4">
        <v>6653.49</v>
      </c>
      <c r="F732">
        <v>36</v>
      </c>
      <c r="G732" t="s">
        <v>29</v>
      </c>
      <c r="H732" s="4">
        <v>4337.6099999999997</v>
      </c>
      <c r="I732" s="4">
        <v>4386.82</v>
      </c>
      <c r="J732" t="s">
        <v>17</v>
      </c>
      <c r="K732" s="2">
        <v>0.23</v>
      </c>
      <c r="L732" t="s">
        <v>31</v>
      </c>
      <c r="M732" t="s">
        <v>19</v>
      </c>
      <c r="N732" t="s">
        <v>46</v>
      </c>
      <c r="O732" s="5">
        <f t="shared" si="11"/>
        <v>1771.5600000000013</v>
      </c>
    </row>
    <row r="733" spans="1:15" x14ac:dyDescent="0.35">
      <c r="A733">
        <v>1036</v>
      </c>
      <c r="B733" s="1">
        <v>45161</v>
      </c>
      <c r="C733" t="s">
        <v>24</v>
      </c>
      <c r="D733" t="s">
        <v>34</v>
      </c>
      <c r="E733" s="4">
        <v>8167.9</v>
      </c>
      <c r="F733">
        <v>25</v>
      </c>
      <c r="G733" t="s">
        <v>26</v>
      </c>
      <c r="H733" s="4">
        <v>2520.9699999999998</v>
      </c>
      <c r="I733" s="4">
        <v>2707.1099999999901</v>
      </c>
      <c r="J733" t="s">
        <v>30</v>
      </c>
      <c r="K733" s="2">
        <v>0.25</v>
      </c>
      <c r="L733" t="s">
        <v>18</v>
      </c>
      <c r="M733" t="s">
        <v>22</v>
      </c>
      <c r="N733" t="s">
        <v>50</v>
      </c>
      <c r="O733" s="5">
        <f t="shared" si="11"/>
        <v>4653.4999999997581</v>
      </c>
    </row>
    <row r="734" spans="1:15" x14ac:dyDescent="0.35">
      <c r="A734">
        <v>1099</v>
      </c>
      <c r="B734" s="1">
        <v>44971</v>
      </c>
      <c r="C734" t="s">
        <v>24</v>
      </c>
      <c r="D734" t="s">
        <v>25</v>
      </c>
      <c r="E734" s="4">
        <v>7802.45</v>
      </c>
      <c r="F734">
        <v>32</v>
      </c>
      <c r="G734" t="s">
        <v>29</v>
      </c>
      <c r="H734" s="4">
        <v>1517.86</v>
      </c>
      <c r="I734" s="4">
        <v>1948.46</v>
      </c>
      <c r="J734" t="s">
        <v>30</v>
      </c>
      <c r="K734" s="2">
        <v>0.02</v>
      </c>
      <c r="L734" t="s">
        <v>31</v>
      </c>
      <c r="M734" t="s">
        <v>19</v>
      </c>
      <c r="N734" t="s">
        <v>28</v>
      </c>
      <c r="O734" s="5">
        <f t="shared" si="11"/>
        <v>13779.200000000004</v>
      </c>
    </row>
    <row r="735" spans="1:15" x14ac:dyDescent="0.35">
      <c r="A735">
        <v>1019</v>
      </c>
      <c r="B735" s="1">
        <v>45240</v>
      </c>
      <c r="C735" t="s">
        <v>14</v>
      </c>
      <c r="D735" t="s">
        <v>34</v>
      </c>
      <c r="E735" s="4">
        <v>7632.43</v>
      </c>
      <c r="F735">
        <v>33</v>
      </c>
      <c r="G735" t="s">
        <v>16</v>
      </c>
      <c r="H735" s="4">
        <v>1362.31</v>
      </c>
      <c r="I735" s="4">
        <v>1486.29</v>
      </c>
      <c r="J735" t="s">
        <v>17</v>
      </c>
      <c r="K735" s="2">
        <v>0.18</v>
      </c>
      <c r="L735" t="s">
        <v>31</v>
      </c>
      <c r="M735" t="s">
        <v>22</v>
      </c>
      <c r="N735" t="s">
        <v>46</v>
      </c>
      <c r="O735" s="5">
        <f t="shared" si="11"/>
        <v>4091.3400000000006</v>
      </c>
    </row>
    <row r="736" spans="1:15" x14ac:dyDescent="0.35">
      <c r="A736">
        <v>1057</v>
      </c>
      <c r="B736" s="1">
        <v>44957</v>
      </c>
      <c r="C736" t="s">
        <v>33</v>
      </c>
      <c r="D736" t="s">
        <v>15</v>
      </c>
      <c r="E736" s="4">
        <v>975.01</v>
      </c>
      <c r="F736">
        <v>36</v>
      </c>
      <c r="G736" t="s">
        <v>26</v>
      </c>
      <c r="H736" s="4">
        <v>4995.3</v>
      </c>
      <c r="I736" s="4">
        <v>5165.09</v>
      </c>
      <c r="J736" t="s">
        <v>17</v>
      </c>
      <c r="K736" s="2">
        <v>0.24</v>
      </c>
      <c r="L736" t="s">
        <v>18</v>
      </c>
      <c r="M736" t="s">
        <v>19</v>
      </c>
      <c r="N736" t="s">
        <v>53</v>
      </c>
      <c r="O736" s="5">
        <f t="shared" si="11"/>
        <v>6112.4399999999987</v>
      </c>
    </row>
    <row r="737" spans="1:15" x14ac:dyDescent="0.35">
      <c r="A737">
        <v>1018</v>
      </c>
      <c r="B737" s="1">
        <v>44949</v>
      </c>
      <c r="C737" t="s">
        <v>24</v>
      </c>
      <c r="D737" t="s">
        <v>15</v>
      </c>
      <c r="E737" s="4">
        <v>7019.59</v>
      </c>
      <c r="F737">
        <v>20</v>
      </c>
      <c r="G737" t="s">
        <v>16</v>
      </c>
      <c r="H737" s="4">
        <v>1140.6199999999999</v>
      </c>
      <c r="I737" s="4">
        <v>1258.6299999999901</v>
      </c>
      <c r="J737" t="s">
        <v>17</v>
      </c>
      <c r="K737" s="2">
        <v>0.26</v>
      </c>
      <c r="L737" t="s">
        <v>27</v>
      </c>
      <c r="M737" t="s">
        <v>19</v>
      </c>
      <c r="N737" t="s">
        <v>45</v>
      </c>
      <c r="O737" s="5">
        <f t="shared" si="11"/>
        <v>2360.1999999998043</v>
      </c>
    </row>
    <row r="738" spans="1:15" x14ac:dyDescent="0.35">
      <c r="A738">
        <v>1047</v>
      </c>
      <c r="B738" s="1">
        <v>45086</v>
      </c>
      <c r="C738" t="s">
        <v>24</v>
      </c>
      <c r="D738" t="s">
        <v>34</v>
      </c>
      <c r="E738" s="4">
        <v>3746.64</v>
      </c>
      <c r="F738">
        <v>18</v>
      </c>
      <c r="G738" t="s">
        <v>29</v>
      </c>
      <c r="H738" s="4">
        <v>560.91999999999996</v>
      </c>
      <c r="I738" s="4">
        <v>1024.31</v>
      </c>
      <c r="J738" t="s">
        <v>17</v>
      </c>
      <c r="K738" s="2">
        <v>0.26</v>
      </c>
      <c r="L738" t="s">
        <v>18</v>
      </c>
      <c r="M738" t="s">
        <v>19</v>
      </c>
      <c r="N738" t="s">
        <v>50</v>
      </c>
      <c r="O738" s="5">
        <f t="shared" si="11"/>
        <v>8341.02</v>
      </c>
    </row>
    <row r="739" spans="1:15" x14ac:dyDescent="0.35">
      <c r="A739">
        <v>1049</v>
      </c>
      <c r="B739" s="1">
        <v>45289</v>
      </c>
      <c r="C739" t="s">
        <v>33</v>
      </c>
      <c r="D739" t="s">
        <v>25</v>
      </c>
      <c r="E739" s="4">
        <v>4380.2299999999996</v>
      </c>
      <c r="F739">
        <v>38</v>
      </c>
      <c r="G739" t="s">
        <v>26</v>
      </c>
      <c r="H739" s="4">
        <v>2945.92</v>
      </c>
      <c r="I739" s="4">
        <v>3381.22</v>
      </c>
      <c r="J739" t="s">
        <v>17</v>
      </c>
      <c r="K739" s="2">
        <v>0.23</v>
      </c>
      <c r="L739" t="s">
        <v>18</v>
      </c>
      <c r="M739" t="s">
        <v>22</v>
      </c>
      <c r="N739" t="s">
        <v>44</v>
      </c>
      <c r="O739" s="5">
        <f t="shared" si="11"/>
        <v>16541.399999999991</v>
      </c>
    </row>
    <row r="740" spans="1:15" x14ac:dyDescent="0.35">
      <c r="A740">
        <v>1014</v>
      </c>
      <c r="B740" s="1">
        <v>45084</v>
      </c>
      <c r="C740" t="s">
        <v>42</v>
      </c>
      <c r="D740" t="s">
        <v>15</v>
      </c>
      <c r="E740" s="4">
        <v>408.38</v>
      </c>
      <c r="F740">
        <v>3</v>
      </c>
      <c r="G740" t="s">
        <v>35</v>
      </c>
      <c r="H740" s="4">
        <v>2468.29</v>
      </c>
      <c r="I740" s="4">
        <v>2723.13</v>
      </c>
      <c r="J740" t="s">
        <v>17</v>
      </c>
      <c r="K740" s="2">
        <v>0.08</v>
      </c>
      <c r="L740" t="s">
        <v>18</v>
      </c>
      <c r="M740" t="s">
        <v>22</v>
      </c>
      <c r="N740" t="s">
        <v>49</v>
      </c>
      <c r="O740" s="5">
        <f t="shared" si="11"/>
        <v>764.52000000000044</v>
      </c>
    </row>
    <row r="741" spans="1:15" x14ac:dyDescent="0.35">
      <c r="A741">
        <v>1015</v>
      </c>
      <c r="B741" s="1">
        <v>44965</v>
      </c>
      <c r="C741" t="s">
        <v>33</v>
      </c>
      <c r="D741" t="s">
        <v>34</v>
      </c>
      <c r="E741" s="4">
        <v>2669.81</v>
      </c>
      <c r="F741">
        <v>23</v>
      </c>
      <c r="G741" t="s">
        <v>35</v>
      </c>
      <c r="H741" s="4">
        <v>2644.77</v>
      </c>
      <c r="I741" s="4">
        <v>2684.83</v>
      </c>
      <c r="J741" t="s">
        <v>30</v>
      </c>
      <c r="K741" s="2">
        <v>0.24</v>
      </c>
      <c r="L741" t="s">
        <v>18</v>
      </c>
      <c r="M741" t="s">
        <v>19</v>
      </c>
      <c r="N741" t="s">
        <v>36</v>
      </c>
      <c r="O741" s="5">
        <f t="shared" si="11"/>
        <v>921.37999999999874</v>
      </c>
    </row>
    <row r="742" spans="1:15" x14ac:dyDescent="0.35">
      <c r="A742">
        <v>1031</v>
      </c>
      <c r="B742" s="1">
        <v>45008</v>
      </c>
      <c r="C742" t="s">
        <v>38</v>
      </c>
      <c r="D742" t="s">
        <v>34</v>
      </c>
      <c r="E742" s="4">
        <v>433.4</v>
      </c>
      <c r="F742">
        <v>32</v>
      </c>
      <c r="G742" t="s">
        <v>29</v>
      </c>
      <c r="H742" s="4">
        <v>3351.33</v>
      </c>
      <c r="I742" s="4">
        <v>3711.47</v>
      </c>
      <c r="J742" t="s">
        <v>30</v>
      </c>
      <c r="K742" s="2">
        <v>0.16</v>
      </c>
      <c r="L742" t="s">
        <v>18</v>
      </c>
      <c r="M742" t="s">
        <v>22</v>
      </c>
      <c r="N742" t="s">
        <v>48</v>
      </c>
      <c r="O742" s="5">
        <f t="shared" si="11"/>
        <v>11524.479999999996</v>
      </c>
    </row>
    <row r="743" spans="1:15" x14ac:dyDescent="0.35">
      <c r="A743">
        <v>1001</v>
      </c>
      <c r="B743" s="1">
        <v>45282</v>
      </c>
      <c r="C743" t="s">
        <v>24</v>
      </c>
      <c r="D743" t="s">
        <v>21</v>
      </c>
      <c r="E743" s="4">
        <v>8803.94</v>
      </c>
      <c r="F743">
        <v>45</v>
      </c>
      <c r="G743" t="s">
        <v>29</v>
      </c>
      <c r="H743" s="4">
        <v>1372.36</v>
      </c>
      <c r="I743" s="4">
        <v>1687.83</v>
      </c>
      <c r="J743" t="s">
        <v>30</v>
      </c>
      <c r="K743" s="2">
        <v>0.02</v>
      </c>
      <c r="L743" t="s">
        <v>31</v>
      </c>
      <c r="M743" t="s">
        <v>19</v>
      </c>
      <c r="N743" t="s">
        <v>47</v>
      </c>
      <c r="O743" s="5">
        <f t="shared" si="11"/>
        <v>14196.150000000001</v>
      </c>
    </row>
    <row r="744" spans="1:15" x14ac:dyDescent="0.35">
      <c r="A744">
        <v>1054</v>
      </c>
      <c r="B744" s="1">
        <v>45184</v>
      </c>
      <c r="C744" t="s">
        <v>14</v>
      </c>
      <c r="D744" t="s">
        <v>25</v>
      </c>
      <c r="E744" s="4">
        <v>2509.63</v>
      </c>
      <c r="F744">
        <v>16</v>
      </c>
      <c r="G744" t="s">
        <v>35</v>
      </c>
      <c r="H744" s="4">
        <v>4557.79</v>
      </c>
      <c r="I744" s="4">
        <v>5043.3599999999997</v>
      </c>
      <c r="J744" t="s">
        <v>17</v>
      </c>
      <c r="K744" s="2">
        <v>0.14000000000000001</v>
      </c>
      <c r="L744" t="s">
        <v>31</v>
      </c>
      <c r="M744" t="s">
        <v>22</v>
      </c>
      <c r="N744" t="s">
        <v>32</v>
      </c>
      <c r="O744" s="5">
        <f t="shared" si="11"/>
        <v>7769.1199999999953</v>
      </c>
    </row>
    <row r="745" spans="1:15" x14ac:dyDescent="0.35">
      <c r="A745">
        <v>1003</v>
      </c>
      <c r="B745" s="1">
        <v>45132</v>
      </c>
      <c r="C745" t="s">
        <v>38</v>
      </c>
      <c r="D745" t="s">
        <v>21</v>
      </c>
      <c r="E745" s="4">
        <v>5617.64</v>
      </c>
      <c r="F745">
        <v>5</v>
      </c>
      <c r="G745" t="s">
        <v>26</v>
      </c>
      <c r="H745" s="4">
        <v>2206.58</v>
      </c>
      <c r="I745" s="4">
        <v>2490.4699999999998</v>
      </c>
      <c r="J745" t="s">
        <v>30</v>
      </c>
      <c r="K745" s="2">
        <v>0.28000000000000003</v>
      </c>
      <c r="L745" t="s">
        <v>18</v>
      </c>
      <c r="M745" t="s">
        <v>19</v>
      </c>
      <c r="N745" t="s">
        <v>41</v>
      </c>
      <c r="O745" s="5">
        <f t="shared" si="11"/>
        <v>1419.4499999999994</v>
      </c>
    </row>
    <row r="746" spans="1:15" x14ac:dyDescent="0.35">
      <c r="A746">
        <v>1016</v>
      </c>
      <c r="B746" s="1">
        <v>45003</v>
      </c>
      <c r="C746" t="s">
        <v>24</v>
      </c>
      <c r="D746" t="s">
        <v>25</v>
      </c>
      <c r="E746" s="4">
        <v>485.9</v>
      </c>
      <c r="F746">
        <v>4</v>
      </c>
      <c r="G746" t="s">
        <v>26</v>
      </c>
      <c r="H746" s="4">
        <v>688.98</v>
      </c>
      <c r="I746" s="4">
        <v>863.81</v>
      </c>
      <c r="J746" t="s">
        <v>30</v>
      </c>
      <c r="K746" s="2">
        <v>0.27</v>
      </c>
      <c r="L746" t="s">
        <v>31</v>
      </c>
      <c r="M746" t="s">
        <v>22</v>
      </c>
      <c r="N746" t="s">
        <v>28</v>
      </c>
      <c r="O746" s="5">
        <f t="shared" si="11"/>
        <v>699.31999999999971</v>
      </c>
    </row>
    <row r="747" spans="1:15" x14ac:dyDescent="0.35">
      <c r="A747">
        <v>1087</v>
      </c>
      <c r="B747" s="1">
        <v>44938</v>
      </c>
      <c r="C747" t="s">
        <v>33</v>
      </c>
      <c r="D747" t="s">
        <v>15</v>
      </c>
      <c r="E747" s="4">
        <v>6701.79</v>
      </c>
      <c r="F747">
        <v>21</v>
      </c>
      <c r="G747" t="s">
        <v>26</v>
      </c>
      <c r="H747" s="4">
        <v>3724.38</v>
      </c>
      <c r="I747" s="4">
        <v>3988.7</v>
      </c>
      <c r="J747" t="s">
        <v>30</v>
      </c>
      <c r="K747" s="2">
        <v>0.03</v>
      </c>
      <c r="L747" t="s">
        <v>27</v>
      </c>
      <c r="M747" t="s">
        <v>22</v>
      </c>
      <c r="N747" t="s">
        <v>53</v>
      </c>
      <c r="O747" s="5">
        <f t="shared" si="11"/>
        <v>5550.7199999999939</v>
      </c>
    </row>
    <row r="748" spans="1:15" x14ac:dyDescent="0.35">
      <c r="A748">
        <v>1057</v>
      </c>
      <c r="B748" s="1">
        <v>45221</v>
      </c>
      <c r="C748" t="s">
        <v>38</v>
      </c>
      <c r="D748" t="s">
        <v>25</v>
      </c>
      <c r="E748" s="4">
        <v>3297.97</v>
      </c>
      <c r="F748">
        <v>40</v>
      </c>
      <c r="G748" t="s">
        <v>29</v>
      </c>
      <c r="H748" s="4">
        <v>3233.37</v>
      </c>
      <c r="I748" s="4">
        <v>3723.21</v>
      </c>
      <c r="J748" t="s">
        <v>30</v>
      </c>
      <c r="K748" s="2">
        <v>0.22</v>
      </c>
      <c r="L748" t="s">
        <v>27</v>
      </c>
      <c r="M748" t="s">
        <v>22</v>
      </c>
      <c r="N748" t="s">
        <v>39</v>
      </c>
      <c r="O748" s="5">
        <f t="shared" si="11"/>
        <v>19593.600000000006</v>
      </c>
    </row>
    <row r="749" spans="1:15" x14ac:dyDescent="0.35">
      <c r="A749">
        <v>1075</v>
      </c>
      <c r="B749" s="1">
        <v>45150</v>
      </c>
      <c r="C749" t="s">
        <v>24</v>
      </c>
      <c r="D749" t="s">
        <v>34</v>
      </c>
      <c r="E749" s="4">
        <v>8989.4</v>
      </c>
      <c r="F749">
        <v>14</v>
      </c>
      <c r="G749" t="s">
        <v>16</v>
      </c>
      <c r="H749" s="4">
        <v>1612.93</v>
      </c>
      <c r="I749" s="4">
        <v>1964.15</v>
      </c>
      <c r="J749" t="s">
        <v>17</v>
      </c>
      <c r="K749" s="2">
        <v>0.24</v>
      </c>
      <c r="L749" t="s">
        <v>27</v>
      </c>
      <c r="M749" t="s">
        <v>22</v>
      </c>
      <c r="N749" t="s">
        <v>50</v>
      </c>
      <c r="O749" s="5">
        <f t="shared" si="11"/>
        <v>4917.08</v>
      </c>
    </row>
    <row r="750" spans="1:15" x14ac:dyDescent="0.35">
      <c r="A750">
        <v>1012</v>
      </c>
      <c r="B750" s="1">
        <v>44939</v>
      </c>
      <c r="C750" t="s">
        <v>42</v>
      </c>
      <c r="D750" t="s">
        <v>34</v>
      </c>
      <c r="E750" s="4">
        <v>8892.3700000000008</v>
      </c>
      <c r="F750">
        <v>39</v>
      </c>
      <c r="G750" t="s">
        <v>16</v>
      </c>
      <c r="H750" s="4">
        <v>3126.52</v>
      </c>
      <c r="I750" s="4">
        <v>3465.79</v>
      </c>
      <c r="J750" t="s">
        <v>30</v>
      </c>
      <c r="K750" s="2">
        <v>0.08</v>
      </c>
      <c r="L750" t="s">
        <v>18</v>
      </c>
      <c r="M750" t="s">
        <v>19</v>
      </c>
      <c r="N750" t="s">
        <v>52</v>
      </c>
      <c r="O750" s="5">
        <f t="shared" si="11"/>
        <v>13231.529999999999</v>
      </c>
    </row>
    <row r="751" spans="1:15" x14ac:dyDescent="0.35">
      <c r="A751">
        <v>1074</v>
      </c>
      <c r="B751" s="1">
        <v>44972</v>
      </c>
      <c r="C751" t="s">
        <v>42</v>
      </c>
      <c r="D751" t="s">
        <v>25</v>
      </c>
      <c r="E751" s="4">
        <v>3320.38</v>
      </c>
      <c r="F751">
        <v>31</v>
      </c>
      <c r="G751" t="s">
        <v>16</v>
      </c>
      <c r="H751" s="4">
        <v>1138.32</v>
      </c>
      <c r="I751" s="4">
        <v>1266.25</v>
      </c>
      <c r="J751" t="s">
        <v>17</v>
      </c>
      <c r="K751" s="2">
        <v>0.14000000000000001</v>
      </c>
      <c r="L751" t="s">
        <v>18</v>
      </c>
      <c r="M751" t="s">
        <v>22</v>
      </c>
      <c r="N751" t="s">
        <v>43</v>
      </c>
      <c r="O751" s="5">
        <f t="shared" si="11"/>
        <v>3965.8300000000017</v>
      </c>
    </row>
    <row r="752" spans="1:15" x14ac:dyDescent="0.35">
      <c r="A752">
        <v>1096</v>
      </c>
      <c r="B752" s="1">
        <v>45081</v>
      </c>
      <c r="C752" t="s">
        <v>14</v>
      </c>
      <c r="D752" t="s">
        <v>25</v>
      </c>
      <c r="E752" s="4">
        <v>9019.51</v>
      </c>
      <c r="F752">
        <v>14</v>
      </c>
      <c r="G752" t="s">
        <v>16</v>
      </c>
      <c r="H752" s="4">
        <v>2251.9499999999998</v>
      </c>
      <c r="I752" s="4">
        <v>2626.3199999999902</v>
      </c>
      <c r="J752" t="s">
        <v>17</v>
      </c>
      <c r="K752" s="2">
        <v>0.21</v>
      </c>
      <c r="L752" t="s">
        <v>31</v>
      </c>
      <c r="M752" t="s">
        <v>19</v>
      </c>
      <c r="N752" t="s">
        <v>32</v>
      </c>
      <c r="O752" s="5">
        <f t="shared" si="11"/>
        <v>5241.1799999998648</v>
      </c>
    </row>
    <row r="753" spans="1:15" x14ac:dyDescent="0.35">
      <c r="A753">
        <v>1016</v>
      </c>
      <c r="B753" s="1">
        <v>45039</v>
      </c>
      <c r="C753" t="s">
        <v>24</v>
      </c>
      <c r="D753" t="s">
        <v>25</v>
      </c>
      <c r="E753" s="4">
        <v>9961.9599999999991</v>
      </c>
      <c r="F753">
        <v>6</v>
      </c>
      <c r="G753" t="s">
        <v>16</v>
      </c>
      <c r="H753" s="4">
        <v>4502.09</v>
      </c>
      <c r="I753" s="4">
        <v>4879.72</v>
      </c>
      <c r="J753" t="s">
        <v>30</v>
      </c>
      <c r="K753" s="2">
        <v>0.13</v>
      </c>
      <c r="L753" t="s">
        <v>31</v>
      </c>
      <c r="M753" t="s">
        <v>19</v>
      </c>
      <c r="N753" t="s">
        <v>28</v>
      </c>
      <c r="O753" s="5">
        <f t="shared" si="11"/>
        <v>2265.7800000000007</v>
      </c>
    </row>
    <row r="754" spans="1:15" x14ac:dyDescent="0.35">
      <c r="A754">
        <v>1072</v>
      </c>
      <c r="B754" s="1">
        <v>45159</v>
      </c>
      <c r="C754" t="s">
        <v>42</v>
      </c>
      <c r="D754" t="s">
        <v>21</v>
      </c>
      <c r="E754" s="4">
        <v>8271.6200000000008</v>
      </c>
      <c r="F754">
        <v>12</v>
      </c>
      <c r="G754" t="s">
        <v>29</v>
      </c>
      <c r="H754" s="4">
        <v>710.99</v>
      </c>
      <c r="I754" s="4">
        <v>876.46</v>
      </c>
      <c r="J754" t="s">
        <v>17</v>
      </c>
      <c r="K754" s="2">
        <v>0.03</v>
      </c>
      <c r="L754" t="s">
        <v>31</v>
      </c>
      <c r="M754" t="s">
        <v>19</v>
      </c>
      <c r="N754" t="s">
        <v>51</v>
      </c>
      <c r="O754" s="5">
        <f t="shared" si="11"/>
        <v>1985.6400000000003</v>
      </c>
    </row>
    <row r="755" spans="1:15" x14ac:dyDescent="0.35">
      <c r="A755">
        <v>1076</v>
      </c>
      <c r="B755" s="1">
        <v>44943</v>
      </c>
      <c r="C755" t="s">
        <v>33</v>
      </c>
      <c r="D755" t="s">
        <v>25</v>
      </c>
      <c r="E755" s="4">
        <v>8464.23</v>
      </c>
      <c r="F755">
        <v>16</v>
      </c>
      <c r="G755" t="s">
        <v>29</v>
      </c>
      <c r="H755" s="4">
        <v>1964.15</v>
      </c>
      <c r="I755" s="4">
        <v>2211.17</v>
      </c>
      <c r="J755" t="s">
        <v>17</v>
      </c>
      <c r="K755" s="2">
        <v>0.21</v>
      </c>
      <c r="L755" t="s">
        <v>27</v>
      </c>
      <c r="M755" t="s">
        <v>19</v>
      </c>
      <c r="N755" t="s">
        <v>44</v>
      </c>
      <c r="O755" s="5">
        <f t="shared" si="11"/>
        <v>3952.3199999999997</v>
      </c>
    </row>
    <row r="756" spans="1:15" x14ac:dyDescent="0.35">
      <c r="A756">
        <v>1024</v>
      </c>
      <c r="B756" s="1">
        <v>45286</v>
      </c>
      <c r="C756" t="s">
        <v>24</v>
      </c>
      <c r="D756" t="s">
        <v>15</v>
      </c>
      <c r="E756" s="4">
        <v>2565.19</v>
      </c>
      <c r="F756">
        <v>17</v>
      </c>
      <c r="G756" t="s">
        <v>16</v>
      </c>
      <c r="H756" s="4">
        <v>4114.66</v>
      </c>
      <c r="I756" s="4">
        <v>4269.0199999999904</v>
      </c>
      <c r="J756" t="s">
        <v>17</v>
      </c>
      <c r="K756" s="2">
        <v>0.27</v>
      </c>
      <c r="L756" t="s">
        <v>27</v>
      </c>
      <c r="M756" t="s">
        <v>22</v>
      </c>
      <c r="N756" t="s">
        <v>45</v>
      </c>
      <c r="O756" s="5">
        <f t="shared" si="11"/>
        <v>2624.1199999998398</v>
      </c>
    </row>
    <row r="757" spans="1:15" x14ac:dyDescent="0.35">
      <c r="A757">
        <v>1028</v>
      </c>
      <c r="B757" s="1">
        <v>45149</v>
      </c>
      <c r="C757" t="s">
        <v>33</v>
      </c>
      <c r="D757" t="s">
        <v>21</v>
      </c>
      <c r="E757" s="4">
        <v>5809.35</v>
      </c>
      <c r="F757">
        <v>45</v>
      </c>
      <c r="G757" t="s">
        <v>29</v>
      </c>
      <c r="H757" s="4">
        <v>4848.9799999999996</v>
      </c>
      <c r="I757" s="4">
        <v>4985.75</v>
      </c>
      <c r="J757" t="s">
        <v>17</v>
      </c>
      <c r="K757" s="2">
        <v>0.2</v>
      </c>
      <c r="L757" t="s">
        <v>27</v>
      </c>
      <c r="M757" t="s">
        <v>19</v>
      </c>
      <c r="N757" t="s">
        <v>37</v>
      </c>
      <c r="O757" s="5">
        <f t="shared" si="11"/>
        <v>6154.6500000000196</v>
      </c>
    </row>
    <row r="758" spans="1:15" x14ac:dyDescent="0.35">
      <c r="A758">
        <v>1008</v>
      </c>
      <c r="B758" s="1">
        <v>45280</v>
      </c>
      <c r="C758" t="s">
        <v>33</v>
      </c>
      <c r="D758" t="s">
        <v>21</v>
      </c>
      <c r="E758" s="4">
        <v>765.83</v>
      </c>
      <c r="F758">
        <v>23</v>
      </c>
      <c r="G758" t="s">
        <v>29</v>
      </c>
      <c r="H758" s="4">
        <v>2296.9299999999998</v>
      </c>
      <c r="I758" s="4">
        <v>2319.62</v>
      </c>
      <c r="J758" t="s">
        <v>17</v>
      </c>
      <c r="K758" s="2">
        <v>0.23</v>
      </c>
      <c r="L758" t="s">
        <v>27</v>
      </c>
      <c r="M758" t="s">
        <v>22</v>
      </c>
      <c r="N758" t="s">
        <v>37</v>
      </c>
      <c r="O758" s="5">
        <f t="shared" si="11"/>
        <v>521.87000000000126</v>
      </c>
    </row>
    <row r="759" spans="1:15" x14ac:dyDescent="0.35">
      <c r="A759">
        <v>1092</v>
      </c>
      <c r="B759" s="1">
        <v>45114</v>
      </c>
      <c r="C759" t="s">
        <v>42</v>
      </c>
      <c r="D759" t="s">
        <v>25</v>
      </c>
      <c r="E759" s="4">
        <v>1039.69</v>
      </c>
      <c r="F759">
        <v>14</v>
      </c>
      <c r="G759" t="s">
        <v>16</v>
      </c>
      <c r="H759" s="4">
        <v>2559.65</v>
      </c>
      <c r="I759" s="4">
        <v>2709.4</v>
      </c>
      <c r="J759" t="s">
        <v>17</v>
      </c>
      <c r="K759" s="2">
        <v>0.11</v>
      </c>
      <c r="L759" t="s">
        <v>31</v>
      </c>
      <c r="M759" t="s">
        <v>22</v>
      </c>
      <c r="N759" t="s">
        <v>43</v>
      </c>
      <c r="O759" s="5">
        <f t="shared" si="11"/>
        <v>2096.5</v>
      </c>
    </row>
    <row r="760" spans="1:15" x14ac:dyDescent="0.35">
      <c r="A760">
        <v>1036</v>
      </c>
      <c r="B760" s="1">
        <v>45270</v>
      </c>
      <c r="C760" t="s">
        <v>24</v>
      </c>
      <c r="D760" t="s">
        <v>15</v>
      </c>
      <c r="E760" s="4">
        <v>9989.0400000000009</v>
      </c>
      <c r="F760">
        <v>7</v>
      </c>
      <c r="G760" t="s">
        <v>26</v>
      </c>
      <c r="H760" s="4">
        <v>2882.25</v>
      </c>
      <c r="I760" s="4">
        <v>3163.7</v>
      </c>
      <c r="J760" t="s">
        <v>17</v>
      </c>
      <c r="K760" s="2">
        <v>0.05</v>
      </c>
      <c r="L760" t="s">
        <v>18</v>
      </c>
      <c r="M760" t="s">
        <v>22</v>
      </c>
      <c r="N760" t="s">
        <v>45</v>
      </c>
      <c r="O760" s="5">
        <f t="shared" si="11"/>
        <v>1970.1499999999987</v>
      </c>
    </row>
    <row r="761" spans="1:15" x14ac:dyDescent="0.35">
      <c r="A761">
        <v>1090</v>
      </c>
      <c r="B761" s="1">
        <v>45291</v>
      </c>
      <c r="C761" t="s">
        <v>38</v>
      </c>
      <c r="D761" t="s">
        <v>21</v>
      </c>
      <c r="E761" s="4">
        <v>3333.73</v>
      </c>
      <c r="F761">
        <v>46</v>
      </c>
      <c r="G761" t="s">
        <v>29</v>
      </c>
      <c r="H761" s="4">
        <v>4665.12</v>
      </c>
      <c r="I761" s="4">
        <v>4675.8999999999996</v>
      </c>
      <c r="J761" t="s">
        <v>30</v>
      </c>
      <c r="K761" s="2">
        <v>0.19</v>
      </c>
      <c r="L761" t="s">
        <v>18</v>
      </c>
      <c r="M761" t="s">
        <v>22</v>
      </c>
      <c r="N761" t="s">
        <v>41</v>
      </c>
      <c r="O761" s="5">
        <f t="shared" si="11"/>
        <v>495.87999999998829</v>
      </c>
    </row>
    <row r="762" spans="1:15" x14ac:dyDescent="0.35">
      <c r="A762">
        <v>1008</v>
      </c>
      <c r="B762" s="1">
        <v>45089</v>
      </c>
      <c r="C762" t="s">
        <v>42</v>
      </c>
      <c r="D762" t="s">
        <v>34</v>
      </c>
      <c r="E762" s="4">
        <v>7507.02</v>
      </c>
      <c r="F762">
        <v>32</v>
      </c>
      <c r="G762" t="s">
        <v>26</v>
      </c>
      <c r="H762" s="4">
        <v>4298.12</v>
      </c>
      <c r="I762" s="4">
        <v>4446.8999999999996</v>
      </c>
      <c r="J762" t="s">
        <v>30</v>
      </c>
      <c r="K762" s="2">
        <v>0.1</v>
      </c>
      <c r="L762" t="s">
        <v>27</v>
      </c>
      <c r="M762" t="s">
        <v>19</v>
      </c>
      <c r="N762" t="s">
        <v>52</v>
      </c>
      <c r="O762" s="5">
        <f t="shared" si="11"/>
        <v>4760.9599999999919</v>
      </c>
    </row>
    <row r="763" spans="1:15" x14ac:dyDescent="0.35">
      <c r="A763">
        <v>1058</v>
      </c>
      <c r="B763" s="1">
        <v>45252</v>
      </c>
      <c r="C763" t="s">
        <v>42</v>
      </c>
      <c r="D763" t="s">
        <v>21</v>
      </c>
      <c r="E763" s="4">
        <v>8085.98</v>
      </c>
      <c r="F763">
        <v>15</v>
      </c>
      <c r="G763" t="s">
        <v>29</v>
      </c>
      <c r="H763" s="4">
        <v>894.48</v>
      </c>
      <c r="I763" s="4">
        <v>1336.37</v>
      </c>
      <c r="J763" t="s">
        <v>17</v>
      </c>
      <c r="K763" s="2">
        <v>0.26</v>
      </c>
      <c r="L763" t="s">
        <v>18</v>
      </c>
      <c r="M763" t="s">
        <v>22</v>
      </c>
      <c r="N763" t="s">
        <v>51</v>
      </c>
      <c r="O763" s="5">
        <f t="shared" si="11"/>
        <v>6628.3499999999985</v>
      </c>
    </row>
    <row r="764" spans="1:15" x14ac:dyDescent="0.35">
      <c r="A764">
        <v>1060</v>
      </c>
      <c r="B764" s="1">
        <v>45000</v>
      </c>
      <c r="C764" t="s">
        <v>24</v>
      </c>
      <c r="D764" t="s">
        <v>25</v>
      </c>
      <c r="E764" s="4">
        <v>8594.43</v>
      </c>
      <c r="F764">
        <v>44</v>
      </c>
      <c r="G764" t="s">
        <v>29</v>
      </c>
      <c r="H764" s="4">
        <v>2211.9499999999998</v>
      </c>
      <c r="I764" s="4">
        <v>2512.8399999999901</v>
      </c>
      <c r="J764" t="s">
        <v>17</v>
      </c>
      <c r="K764" s="2">
        <v>0.04</v>
      </c>
      <c r="L764" t="s">
        <v>18</v>
      </c>
      <c r="M764" t="s">
        <v>19</v>
      </c>
      <c r="N764" t="s">
        <v>28</v>
      </c>
      <c r="O764" s="5">
        <f t="shared" si="11"/>
        <v>13239.159999999574</v>
      </c>
    </row>
    <row r="765" spans="1:15" x14ac:dyDescent="0.35">
      <c r="A765">
        <v>1050</v>
      </c>
      <c r="B765" s="1">
        <v>45159</v>
      </c>
      <c r="C765" t="s">
        <v>24</v>
      </c>
      <c r="D765" t="s">
        <v>15</v>
      </c>
      <c r="E765" s="4">
        <v>9976.52</v>
      </c>
      <c r="F765">
        <v>17</v>
      </c>
      <c r="G765" t="s">
        <v>16</v>
      </c>
      <c r="H765" s="4">
        <v>2346.8000000000002</v>
      </c>
      <c r="I765" s="4">
        <v>2654.65</v>
      </c>
      <c r="J765" t="s">
        <v>30</v>
      </c>
      <c r="K765" s="2">
        <v>0.13</v>
      </c>
      <c r="L765" t="s">
        <v>18</v>
      </c>
      <c r="M765" t="s">
        <v>22</v>
      </c>
      <c r="N765" t="s">
        <v>45</v>
      </c>
      <c r="O765" s="5">
        <f t="shared" si="11"/>
        <v>5233.4499999999989</v>
      </c>
    </row>
    <row r="766" spans="1:15" x14ac:dyDescent="0.35">
      <c r="A766">
        <v>1028</v>
      </c>
      <c r="B766" s="1">
        <v>45150</v>
      </c>
      <c r="C766" t="s">
        <v>33</v>
      </c>
      <c r="D766" t="s">
        <v>25</v>
      </c>
      <c r="E766" s="4">
        <v>2490.8200000000002</v>
      </c>
      <c r="F766">
        <v>41</v>
      </c>
      <c r="G766" t="s">
        <v>29</v>
      </c>
      <c r="H766" s="4">
        <v>3956.03</v>
      </c>
      <c r="I766" s="4">
        <v>4163.68</v>
      </c>
      <c r="J766" t="s">
        <v>30</v>
      </c>
      <c r="K766" s="2">
        <v>0.12</v>
      </c>
      <c r="L766" t="s">
        <v>27</v>
      </c>
      <c r="M766" t="s">
        <v>22</v>
      </c>
      <c r="N766" t="s">
        <v>44</v>
      </c>
      <c r="O766" s="5">
        <f t="shared" si="11"/>
        <v>8513.6500000000033</v>
      </c>
    </row>
    <row r="767" spans="1:15" x14ac:dyDescent="0.35">
      <c r="A767">
        <v>1092</v>
      </c>
      <c r="B767" s="1">
        <v>45245</v>
      </c>
      <c r="C767" t="s">
        <v>24</v>
      </c>
      <c r="D767" t="s">
        <v>34</v>
      </c>
      <c r="E767" s="4">
        <v>499.47</v>
      </c>
      <c r="F767">
        <v>47</v>
      </c>
      <c r="G767" t="s">
        <v>35</v>
      </c>
      <c r="H767" s="4">
        <v>3034.32</v>
      </c>
      <c r="I767" s="4">
        <v>3375.79</v>
      </c>
      <c r="J767" t="s">
        <v>30</v>
      </c>
      <c r="K767" s="2">
        <v>0.28000000000000003</v>
      </c>
      <c r="L767" t="s">
        <v>31</v>
      </c>
      <c r="M767" t="s">
        <v>19</v>
      </c>
      <c r="N767" t="s">
        <v>50</v>
      </c>
      <c r="O767" s="5">
        <f t="shared" si="11"/>
        <v>16049.089999999991</v>
      </c>
    </row>
    <row r="768" spans="1:15" x14ac:dyDescent="0.35">
      <c r="A768">
        <v>1041</v>
      </c>
      <c r="B768" s="1">
        <v>44986</v>
      </c>
      <c r="C768" t="s">
        <v>33</v>
      </c>
      <c r="D768" t="s">
        <v>34</v>
      </c>
      <c r="E768" s="4">
        <v>4170.8</v>
      </c>
      <c r="F768">
        <v>44</v>
      </c>
      <c r="G768" t="s">
        <v>35</v>
      </c>
      <c r="H768" s="4">
        <v>3288.39</v>
      </c>
      <c r="I768" s="4">
        <v>3391.46</v>
      </c>
      <c r="J768" t="s">
        <v>30</v>
      </c>
      <c r="K768" s="2">
        <v>0.05</v>
      </c>
      <c r="L768" t="s">
        <v>31</v>
      </c>
      <c r="M768" t="s">
        <v>22</v>
      </c>
      <c r="N768" t="s">
        <v>36</v>
      </c>
      <c r="O768" s="5">
        <f t="shared" si="11"/>
        <v>4535.0800000000072</v>
      </c>
    </row>
    <row r="769" spans="1:15" x14ac:dyDescent="0.35">
      <c r="A769">
        <v>1100</v>
      </c>
      <c r="B769" s="1">
        <v>45261</v>
      </c>
      <c r="C769" t="s">
        <v>42</v>
      </c>
      <c r="D769" t="s">
        <v>34</v>
      </c>
      <c r="E769" s="4">
        <v>1387.8</v>
      </c>
      <c r="F769">
        <v>34</v>
      </c>
      <c r="G769" t="s">
        <v>16</v>
      </c>
      <c r="H769" s="4">
        <v>4991.09</v>
      </c>
      <c r="I769" s="4">
        <v>5402.28</v>
      </c>
      <c r="J769" t="s">
        <v>17</v>
      </c>
      <c r="K769" s="2">
        <v>0</v>
      </c>
      <c r="L769" t="s">
        <v>18</v>
      </c>
      <c r="M769" t="s">
        <v>22</v>
      </c>
      <c r="N769" t="s">
        <v>52</v>
      </c>
      <c r="O769" s="5">
        <f t="shared" si="11"/>
        <v>13980.459999999986</v>
      </c>
    </row>
    <row r="770" spans="1:15" x14ac:dyDescent="0.35">
      <c r="A770">
        <v>1064</v>
      </c>
      <c r="B770" s="1">
        <v>45148</v>
      </c>
      <c r="C770" t="s">
        <v>14</v>
      </c>
      <c r="D770" t="s">
        <v>25</v>
      </c>
      <c r="E770" s="4">
        <v>322.02</v>
      </c>
      <c r="F770">
        <v>5</v>
      </c>
      <c r="G770" t="s">
        <v>26</v>
      </c>
      <c r="H770" s="4">
        <v>421.05</v>
      </c>
      <c r="I770" s="4">
        <v>488.23</v>
      </c>
      <c r="J770" t="s">
        <v>17</v>
      </c>
      <c r="K770" s="2">
        <v>7.0000000000000007E-2</v>
      </c>
      <c r="L770" t="s">
        <v>31</v>
      </c>
      <c r="M770" t="s">
        <v>22</v>
      </c>
      <c r="N770" t="s">
        <v>32</v>
      </c>
      <c r="O770" s="5">
        <f t="shared" ref="O770:O833" si="12">(I770-H770)*F770</f>
        <v>335.90000000000003</v>
      </c>
    </row>
    <row r="771" spans="1:15" x14ac:dyDescent="0.35">
      <c r="A771">
        <v>1027</v>
      </c>
      <c r="B771" s="1">
        <v>44963</v>
      </c>
      <c r="C771" t="s">
        <v>38</v>
      </c>
      <c r="D771" t="s">
        <v>21</v>
      </c>
      <c r="E771" s="4">
        <v>3668.23</v>
      </c>
      <c r="F771">
        <v>45</v>
      </c>
      <c r="G771" t="s">
        <v>26</v>
      </c>
      <c r="H771" s="4">
        <v>1153.9000000000001</v>
      </c>
      <c r="I771" s="4">
        <v>1485.34</v>
      </c>
      <c r="J771" t="s">
        <v>30</v>
      </c>
      <c r="K771" s="2">
        <v>0.25</v>
      </c>
      <c r="L771" t="s">
        <v>31</v>
      </c>
      <c r="M771" t="s">
        <v>22</v>
      </c>
      <c r="N771" t="s">
        <v>41</v>
      </c>
      <c r="O771" s="5">
        <f t="shared" si="12"/>
        <v>14914.799999999992</v>
      </c>
    </row>
    <row r="772" spans="1:15" x14ac:dyDescent="0.35">
      <c r="A772">
        <v>1063</v>
      </c>
      <c r="B772" s="1">
        <v>45204</v>
      </c>
      <c r="C772" t="s">
        <v>42</v>
      </c>
      <c r="D772" t="s">
        <v>25</v>
      </c>
      <c r="E772" s="4">
        <v>7859.01</v>
      </c>
      <c r="F772">
        <v>27</v>
      </c>
      <c r="G772" t="s">
        <v>26</v>
      </c>
      <c r="H772" s="4">
        <v>2069.08</v>
      </c>
      <c r="I772" s="4">
        <v>2246.2399999999998</v>
      </c>
      <c r="J772" t="s">
        <v>30</v>
      </c>
      <c r="K772" s="2">
        <v>0.06</v>
      </c>
      <c r="L772" t="s">
        <v>27</v>
      </c>
      <c r="M772" t="s">
        <v>22</v>
      </c>
      <c r="N772" t="s">
        <v>43</v>
      </c>
      <c r="O772" s="5">
        <f t="shared" si="12"/>
        <v>4783.3199999999961</v>
      </c>
    </row>
    <row r="773" spans="1:15" x14ac:dyDescent="0.35">
      <c r="A773">
        <v>1017</v>
      </c>
      <c r="B773" s="1">
        <v>45122</v>
      </c>
      <c r="C773" t="s">
        <v>24</v>
      </c>
      <c r="D773" t="s">
        <v>15</v>
      </c>
      <c r="E773" s="4">
        <v>5705.19</v>
      </c>
      <c r="F773">
        <v>23</v>
      </c>
      <c r="G773" t="s">
        <v>35</v>
      </c>
      <c r="H773" s="4">
        <v>1771.52</v>
      </c>
      <c r="I773" s="4">
        <v>2147.8000000000002</v>
      </c>
      <c r="J773" t="s">
        <v>30</v>
      </c>
      <c r="K773" s="2">
        <v>7.0000000000000007E-2</v>
      </c>
      <c r="L773" t="s">
        <v>27</v>
      </c>
      <c r="M773" t="s">
        <v>19</v>
      </c>
      <c r="N773" t="s">
        <v>45</v>
      </c>
      <c r="O773" s="5">
        <f t="shared" si="12"/>
        <v>8654.4400000000041</v>
      </c>
    </row>
    <row r="774" spans="1:15" x14ac:dyDescent="0.35">
      <c r="A774">
        <v>1073</v>
      </c>
      <c r="B774" s="1">
        <v>45278</v>
      </c>
      <c r="C774" t="s">
        <v>38</v>
      </c>
      <c r="D774" t="s">
        <v>21</v>
      </c>
      <c r="E774" s="4">
        <v>3196.5</v>
      </c>
      <c r="F774">
        <v>40</v>
      </c>
      <c r="G774" t="s">
        <v>26</v>
      </c>
      <c r="H774" s="4">
        <v>157.15</v>
      </c>
      <c r="I774" s="4">
        <v>436.53</v>
      </c>
      <c r="J774" t="s">
        <v>30</v>
      </c>
      <c r="K774" s="2">
        <v>0.04</v>
      </c>
      <c r="L774" t="s">
        <v>18</v>
      </c>
      <c r="M774" t="s">
        <v>22</v>
      </c>
      <c r="N774" t="s">
        <v>41</v>
      </c>
      <c r="O774" s="5">
        <f t="shared" si="12"/>
        <v>11175.2</v>
      </c>
    </row>
    <row r="775" spans="1:15" x14ac:dyDescent="0.35">
      <c r="A775">
        <v>1033</v>
      </c>
      <c r="B775" s="1">
        <v>45168</v>
      </c>
      <c r="C775" t="s">
        <v>14</v>
      </c>
      <c r="D775" t="s">
        <v>34</v>
      </c>
      <c r="E775" s="4">
        <v>6577.99</v>
      </c>
      <c r="F775">
        <v>14</v>
      </c>
      <c r="G775" t="s">
        <v>26</v>
      </c>
      <c r="H775" s="4">
        <v>504.3</v>
      </c>
      <c r="I775" s="4">
        <v>735.95</v>
      </c>
      <c r="J775" t="s">
        <v>17</v>
      </c>
      <c r="K775" s="2">
        <v>0.21</v>
      </c>
      <c r="L775" t="s">
        <v>18</v>
      </c>
      <c r="M775" t="s">
        <v>22</v>
      </c>
      <c r="N775" t="s">
        <v>46</v>
      </c>
      <c r="O775" s="5">
        <f t="shared" si="12"/>
        <v>3243.1000000000004</v>
      </c>
    </row>
    <row r="776" spans="1:15" x14ac:dyDescent="0.35">
      <c r="A776">
        <v>1084</v>
      </c>
      <c r="B776" s="1">
        <v>45250</v>
      </c>
      <c r="C776" t="s">
        <v>14</v>
      </c>
      <c r="D776" t="s">
        <v>25</v>
      </c>
      <c r="E776" s="4">
        <v>2396.98</v>
      </c>
      <c r="F776">
        <v>15</v>
      </c>
      <c r="G776" t="s">
        <v>16</v>
      </c>
      <c r="H776" s="4">
        <v>3420.72</v>
      </c>
      <c r="I776" s="4">
        <v>3513.74</v>
      </c>
      <c r="J776" t="s">
        <v>30</v>
      </c>
      <c r="K776" s="2">
        <v>0.02</v>
      </c>
      <c r="L776" t="s">
        <v>18</v>
      </c>
      <c r="M776" t="s">
        <v>19</v>
      </c>
      <c r="N776" t="s">
        <v>32</v>
      </c>
      <c r="O776" s="5">
        <f t="shared" si="12"/>
        <v>1395.2999999999997</v>
      </c>
    </row>
    <row r="777" spans="1:15" x14ac:dyDescent="0.35">
      <c r="A777">
        <v>1077</v>
      </c>
      <c r="B777" s="1">
        <v>45145</v>
      </c>
      <c r="C777" t="s">
        <v>33</v>
      </c>
      <c r="D777" t="s">
        <v>34</v>
      </c>
      <c r="E777" s="4">
        <v>242.38</v>
      </c>
      <c r="F777">
        <v>43</v>
      </c>
      <c r="G777" t="s">
        <v>26</v>
      </c>
      <c r="H777" s="4">
        <v>4402.66</v>
      </c>
      <c r="I777" s="4">
        <v>4724.7</v>
      </c>
      <c r="J777" t="s">
        <v>30</v>
      </c>
      <c r="K777" s="2">
        <v>0.1</v>
      </c>
      <c r="L777" t="s">
        <v>27</v>
      </c>
      <c r="M777" t="s">
        <v>22</v>
      </c>
      <c r="N777" t="s">
        <v>36</v>
      </c>
      <c r="O777" s="5">
        <f t="shared" si="12"/>
        <v>13847.719999999998</v>
      </c>
    </row>
    <row r="778" spans="1:15" x14ac:dyDescent="0.35">
      <c r="A778">
        <v>1092</v>
      </c>
      <c r="B778" s="1">
        <v>45118</v>
      </c>
      <c r="C778" t="s">
        <v>38</v>
      </c>
      <c r="D778" t="s">
        <v>34</v>
      </c>
      <c r="E778" s="4">
        <v>7667.1</v>
      </c>
      <c r="F778">
        <v>33</v>
      </c>
      <c r="G778" t="s">
        <v>35</v>
      </c>
      <c r="H778" s="4">
        <v>2595.42</v>
      </c>
      <c r="I778" s="4">
        <v>3083.06</v>
      </c>
      <c r="J778" t="s">
        <v>30</v>
      </c>
      <c r="K778" s="2">
        <v>0.08</v>
      </c>
      <c r="L778" t="s">
        <v>31</v>
      </c>
      <c r="M778" t="s">
        <v>19</v>
      </c>
      <c r="N778" t="s">
        <v>48</v>
      </c>
      <c r="O778" s="5">
        <f t="shared" si="12"/>
        <v>16092.119999999995</v>
      </c>
    </row>
    <row r="779" spans="1:15" x14ac:dyDescent="0.35">
      <c r="A779">
        <v>1029</v>
      </c>
      <c r="B779" s="1">
        <v>44943</v>
      </c>
      <c r="C779" t="s">
        <v>33</v>
      </c>
      <c r="D779" t="s">
        <v>15</v>
      </c>
      <c r="E779" s="4">
        <v>6275.06</v>
      </c>
      <c r="F779">
        <v>31</v>
      </c>
      <c r="G779" t="s">
        <v>35</v>
      </c>
      <c r="H779" s="4">
        <v>2719</v>
      </c>
      <c r="I779" s="4">
        <v>3133.55</v>
      </c>
      <c r="J779" t="s">
        <v>17</v>
      </c>
      <c r="K779" s="2">
        <v>0.17</v>
      </c>
      <c r="L779" t="s">
        <v>27</v>
      </c>
      <c r="M779" t="s">
        <v>22</v>
      </c>
      <c r="N779" t="s">
        <v>53</v>
      </c>
      <c r="O779" s="5">
        <f t="shared" si="12"/>
        <v>12851.050000000007</v>
      </c>
    </row>
    <row r="780" spans="1:15" x14ac:dyDescent="0.35">
      <c r="A780">
        <v>1013</v>
      </c>
      <c r="B780" s="1">
        <v>44938</v>
      </c>
      <c r="C780" t="s">
        <v>42</v>
      </c>
      <c r="D780" t="s">
        <v>21</v>
      </c>
      <c r="E780" s="4">
        <v>7646.8</v>
      </c>
      <c r="F780">
        <v>35</v>
      </c>
      <c r="G780" t="s">
        <v>35</v>
      </c>
      <c r="H780" s="4">
        <v>1312.71</v>
      </c>
      <c r="I780" s="4">
        <v>1352.11</v>
      </c>
      <c r="J780" t="s">
        <v>17</v>
      </c>
      <c r="K780" s="2">
        <v>0.22</v>
      </c>
      <c r="L780" t="s">
        <v>27</v>
      </c>
      <c r="M780" t="s">
        <v>22</v>
      </c>
      <c r="N780" t="s">
        <v>51</v>
      </c>
      <c r="O780" s="5">
        <f t="shared" si="12"/>
        <v>1378.9999999999952</v>
      </c>
    </row>
    <row r="781" spans="1:15" x14ac:dyDescent="0.35">
      <c r="A781">
        <v>1046</v>
      </c>
      <c r="B781" s="1">
        <v>45119</v>
      </c>
      <c r="C781" t="s">
        <v>38</v>
      </c>
      <c r="D781" t="s">
        <v>15</v>
      </c>
      <c r="E781" s="4">
        <v>485.49</v>
      </c>
      <c r="F781">
        <v>17</v>
      </c>
      <c r="G781" t="s">
        <v>16</v>
      </c>
      <c r="H781" s="4">
        <v>3850.99</v>
      </c>
      <c r="I781" s="4">
        <v>4045.3399999999901</v>
      </c>
      <c r="J781" t="s">
        <v>17</v>
      </c>
      <c r="K781" s="2">
        <v>0.16</v>
      </c>
      <c r="L781" t="s">
        <v>31</v>
      </c>
      <c r="M781" t="s">
        <v>19</v>
      </c>
      <c r="N781" t="s">
        <v>40</v>
      </c>
      <c r="O781" s="5">
        <f t="shared" si="12"/>
        <v>3303.9499999998361</v>
      </c>
    </row>
    <row r="782" spans="1:15" x14ac:dyDescent="0.35">
      <c r="A782">
        <v>1035</v>
      </c>
      <c r="B782" s="1">
        <v>44948</v>
      </c>
      <c r="C782" t="s">
        <v>42</v>
      </c>
      <c r="D782" t="s">
        <v>15</v>
      </c>
      <c r="E782" s="4">
        <v>8387.48</v>
      </c>
      <c r="F782">
        <v>28</v>
      </c>
      <c r="G782" t="s">
        <v>16</v>
      </c>
      <c r="H782" s="4">
        <v>3771.38</v>
      </c>
      <c r="I782" s="4">
        <v>4234.92</v>
      </c>
      <c r="J782" t="s">
        <v>30</v>
      </c>
      <c r="K782" s="2">
        <v>0.28000000000000003</v>
      </c>
      <c r="L782" t="s">
        <v>31</v>
      </c>
      <c r="M782" t="s">
        <v>22</v>
      </c>
      <c r="N782" t="s">
        <v>49</v>
      </c>
      <c r="O782" s="5">
        <f t="shared" si="12"/>
        <v>12979.119999999999</v>
      </c>
    </row>
    <row r="783" spans="1:15" x14ac:dyDescent="0.35">
      <c r="A783">
        <v>1006</v>
      </c>
      <c r="B783" s="1">
        <v>45046</v>
      </c>
      <c r="C783" t="s">
        <v>33</v>
      </c>
      <c r="D783" t="s">
        <v>15</v>
      </c>
      <c r="E783" s="4">
        <v>6233.31</v>
      </c>
      <c r="F783">
        <v>19</v>
      </c>
      <c r="G783" t="s">
        <v>29</v>
      </c>
      <c r="H783" s="4">
        <v>2962.41</v>
      </c>
      <c r="I783" s="4">
        <v>3218.8999999999901</v>
      </c>
      <c r="J783" t="s">
        <v>30</v>
      </c>
      <c r="K783" s="2">
        <v>0.28999999999999998</v>
      </c>
      <c r="L783" t="s">
        <v>18</v>
      </c>
      <c r="M783" t="s">
        <v>22</v>
      </c>
      <c r="N783" t="s">
        <v>53</v>
      </c>
      <c r="O783" s="5">
        <f t="shared" si="12"/>
        <v>4873.309999999814</v>
      </c>
    </row>
    <row r="784" spans="1:15" x14ac:dyDescent="0.35">
      <c r="A784">
        <v>1082</v>
      </c>
      <c r="B784" s="1">
        <v>45136</v>
      </c>
      <c r="C784" t="s">
        <v>38</v>
      </c>
      <c r="D784" t="s">
        <v>34</v>
      </c>
      <c r="E784" s="4">
        <v>5677.61</v>
      </c>
      <c r="F784">
        <v>46</v>
      </c>
      <c r="G784" t="s">
        <v>26</v>
      </c>
      <c r="H784" s="4">
        <v>1102.69</v>
      </c>
      <c r="I784" s="4">
        <v>1437.12</v>
      </c>
      <c r="J784" t="s">
        <v>30</v>
      </c>
      <c r="K784" s="2">
        <v>0.11</v>
      </c>
      <c r="L784" t="s">
        <v>31</v>
      </c>
      <c r="M784" t="s">
        <v>19</v>
      </c>
      <c r="N784" t="s">
        <v>48</v>
      </c>
      <c r="O784" s="5">
        <f t="shared" si="12"/>
        <v>15383.779999999992</v>
      </c>
    </row>
    <row r="785" spans="1:15" x14ac:dyDescent="0.35">
      <c r="A785">
        <v>1069</v>
      </c>
      <c r="B785" s="1">
        <v>45232</v>
      </c>
      <c r="C785" t="s">
        <v>33</v>
      </c>
      <c r="D785" t="s">
        <v>15</v>
      </c>
      <c r="E785" s="4">
        <v>6283.68</v>
      </c>
      <c r="F785">
        <v>23</v>
      </c>
      <c r="G785" t="s">
        <v>16</v>
      </c>
      <c r="H785" s="4">
        <v>530.24</v>
      </c>
      <c r="I785" s="4">
        <v>987.41</v>
      </c>
      <c r="J785" t="s">
        <v>17</v>
      </c>
      <c r="K785" s="2">
        <v>0.23</v>
      </c>
      <c r="L785" t="s">
        <v>31</v>
      </c>
      <c r="M785" t="s">
        <v>19</v>
      </c>
      <c r="N785" t="s">
        <v>53</v>
      </c>
      <c r="O785" s="5">
        <f t="shared" si="12"/>
        <v>10514.91</v>
      </c>
    </row>
    <row r="786" spans="1:15" x14ac:dyDescent="0.35">
      <c r="A786">
        <v>1047</v>
      </c>
      <c r="B786" s="1">
        <v>45196</v>
      </c>
      <c r="C786" t="s">
        <v>38</v>
      </c>
      <c r="D786" t="s">
        <v>15</v>
      </c>
      <c r="E786" s="4">
        <v>8657.89</v>
      </c>
      <c r="F786">
        <v>32</v>
      </c>
      <c r="G786" t="s">
        <v>35</v>
      </c>
      <c r="H786" s="4">
        <v>367.98</v>
      </c>
      <c r="I786" s="4">
        <v>806.14</v>
      </c>
      <c r="J786" t="s">
        <v>17</v>
      </c>
      <c r="K786" s="2">
        <v>0.22</v>
      </c>
      <c r="L786" t="s">
        <v>31</v>
      </c>
      <c r="M786" t="s">
        <v>22</v>
      </c>
      <c r="N786" t="s">
        <v>40</v>
      </c>
      <c r="O786" s="5">
        <f t="shared" si="12"/>
        <v>14021.119999999999</v>
      </c>
    </row>
    <row r="787" spans="1:15" x14ac:dyDescent="0.35">
      <c r="A787">
        <v>1025</v>
      </c>
      <c r="B787" s="1">
        <v>45118</v>
      </c>
      <c r="C787" t="s">
        <v>33</v>
      </c>
      <c r="D787" t="s">
        <v>21</v>
      </c>
      <c r="E787" s="4">
        <v>5910.67</v>
      </c>
      <c r="F787">
        <v>40</v>
      </c>
      <c r="G787" t="s">
        <v>35</v>
      </c>
      <c r="H787" s="4">
        <v>2983.85</v>
      </c>
      <c r="I787" s="4">
        <v>3239.74</v>
      </c>
      <c r="J787" t="s">
        <v>30</v>
      </c>
      <c r="K787" s="2">
        <v>0.27</v>
      </c>
      <c r="L787" t="s">
        <v>31</v>
      </c>
      <c r="M787" t="s">
        <v>19</v>
      </c>
      <c r="N787" t="s">
        <v>37</v>
      </c>
      <c r="O787" s="5">
        <f t="shared" si="12"/>
        <v>10235.599999999995</v>
      </c>
    </row>
    <row r="788" spans="1:15" x14ac:dyDescent="0.35">
      <c r="A788">
        <v>1066</v>
      </c>
      <c r="B788" s="1">
        <v>45101</v>
      </c>
      <c r="C788" t="s">
        <v>14</v>
      </c>
      <c r="D788" t="s">
        <v>21</v>
      </c>
      <c r="E788" s="4">
        <v>5851.41</v>
      </c>
      <c r="F788">
        <v>13</v>
      </c>
      <c r="G788" t="s">
        <v>16</v>
      </c>
      <c r="H788" s="4">
        <v>4133.92</v>
      </c>
      <c r="I788" s="4">
        <v>4358.37</v>
      </c>
      <c r="J788" t="s">
        <v>30</v>
      </c>
      <c r="K788" s="2">
        <v>0.13</v>
      </c>
      <c r="L788" t="s">
        <v>18</v>
      </c>
      <c r="M788" t="s">
        <v>22</v>
      </c>
      <c r="N788" t="s">
        <v>23</v>
      </c>
      <c r="O788" s="5">
        <f t="shared" si="12"/>
        <v>2917.8499999999976</v>
      </c>
    </row>
    <row r="789" spans="1:15" x14ac:dyDescent="0.35">
      <c r="A789">
        <v>1010</v>
      </c>
      <c r="B789" s="1">
        <v>45211</v>
      </c>
      <c r="C789" t="s">
        <v>33</v>
      </c>
      <c r="D789" t="s">
        <v>15</v>
      </c>
      <c r="E789" s="4">
        <v>9907.7199999999993</v>
      </c>
      <c r="F789">
        <v>20</v>
      </c>
      <c r="G789" t="s">
        <v>16</v>
      </c>
      <c r="H789" s="4">
        <v>4298.74</v>
      </c>
      <c r="I789" s="4">
        <v>4475.1899999999996</v>
      </c>
      <c r="J789" t="s">
        <v>17</v>
      </c>
      <c r="K789" s="2">
        <v>0.16</v>
      </c>
      <c r="L789" t="s">
        <v>18</v>
      </c>
      <c r="M789" t="s">
        <v>19</v>
      </c>
      <c r="N789" t="s">
        <v>53</v>
      </c>
      <c r="O789" s="5">
        <f t="shared" si="12"/>
        <v>3528.9999999999964</v>
      </c>
    </row>
    <row r="790" spans="1:15" x14ac:dyDescent="0.35">
      <c r="A790">
        <v>1056</v>
      </c>
      <c r="B790" s="1">
        <v>45130</v>
      </c>
      <c r="C790" t="s">
        <v>14</v>
      </c>
      <c r="D790" t="s">
        <v>21</v>
      </c>
      <c r="E790" s="4">
        <v>7591.63</v>
      </c>
      <c r="F790">
        <v>35</v>
      </c>
      <c r="G790" t="s">
        <v>16</v>
      </c>
      <c r="H790" s="4">
        <v>2344.9299999999998</v>
      </c>
      <c r="I790" s="4">
        <v>2707.25</v>
      </c>
      <c r="J790" t="s">
        <v>30</v>
      </c>
      <c r="K790" s="2">
        <v>0.12</v>
      </c>
      <c r="L790" t="s">
        <v>31</v>
      </c>
      <c r="M790" t="s">
        <v>22</v>
      </c>
      <c r="N790" t="s">
        <v>23</v>
      </c>
      <c r="O790" s="5">
        <f t="shared" si="12"/>
        <v>12681.200000000006</v>
      </c>
    </row>
    <row r="791" spans="1:15" x14ac:dyDescent="0.35">
      <c r="A791">
        <v>1030</v>
      </c>
      <c r="B791" s="1">
        <v>45090</v>
      </c>
      <c r="C791" t="s">
        <v>33</v>
      </c>
      <c r="D791" t="s">
        <v>21</v>
      </c>
      <c r="E791" s="4">
        <v>4478.71</v>
      </c>
      <c r="F791">
        <v>5</v>
      </c>
      <c r="G791" t="s">
        <v>29</v>
      </c>
      <c r="H791" s="4">
        <v>3932.14</v>
      </c>
      <c r="I791" s="4">
        <v>4082.7599999999902</v>
      </c>
      <c r="J791" t="s">
        <v>30</v>
      </c>
      <c r="K791" s="2">
        <v>0.26</v>
      </c>
      <c r="L791" t="s">
        <v>31</v>
      </c>
      <c r="M791" t="s">
        <v>19</v>
      </c>
      <c r="N791" t="s">
        <v>37</v>
      </c>
      <c r="O791" s="5">
        <f t="shared" si="12"/>
        <v>753.09999999995171</v>
      </c>
    </row>
    <row r="792" spans="1:15" x14ac:dyDescent="0.35">
      <c r="A792">
        <v>1005</v>
      </c>
      <c r="B792" s="1">
        <v>45177</v>
      </c>
      <c r="C792" t="s">
        <v>38</v>
      </c>
      <c r="D792" t="s">
        <v>15</v>
      </c>
      <c r="E792" s="4">
        <v>7103.23</v>
      </c>
      <c r="F792">
        <v>9</v>
      </c>
      <c r="G792" t="s">
        <v>35</v>
      </c>
      <c r="H792" s="4">
        <v>4737.0600000000004</v>
      </c>
      <c r="I792" s="4">
        <v>4869.5</v>
      </c>
      <c r="J792" t="s">
        <v>30</v>
      </c>
      <c r="K792" s="2">
        <v>7.0000000000000007E-2</v>
      </c>
      <c r="L792" t="s">
        <v>18</v>
      </c>
      <c r="M792" t="s">
        <v>19</v>
      </c>
      <c r="N792" t="s">
        <v>40</v>
      </c>
      <c r="O792" s="5">
        <f t="shared" si="12"/>
        <v>1191.9599999999964</v>
      </c>
    </row>
    <row r="793" spans="1:15" x14ac:dyDescent="0.35">
      <c r="A793">
        <v>1033</v>
      </c>
      <c r="B793" s="1">
        <v>45153</v>
      </c>
      <c r="C793" t="s">
        <v>38</v>
      </c>
      <c r="D793" t="s">
        <v>34</v>
      </c>
      <c r="E793" s="4">
        <v>3953.38</v>
      </c>
      <c r="F793">
        <v>29</v>
      </c>
      <c r="G793" t="s">
        <v>29</v>
      </c>
      <c r="H793" s="4">
        <v>1412.09</v>
      </c>
      <c r="I793" s="4">
        <v>1596.6499999999901</v>
      </c>
      <c r="J793" t="s">
        <v>17</v>
      </c>
      <c r="K793" s="2">
        <v>7.0000000000000007E-2</v>
      </c>
      <c r="L793" t="s">
        <v>18</v>
      </c>
      <c r="M793" t="s">
        <v>19</v>
      </c>
      <c r="N793" t="s">
        <v>48</v>
      </c>
      <c r="O793" s="5">
        <f t="shared" si="12"/>
        <v>5352.2399999997151</v>
      </c>
    </row>
    <row r="794" spans="1:15" x14ac:dyDescent="0.35">
      <c r="A794">
        <v>1065</v>
      </c>
      <c r="B794" s="1">
        <v>44933</v>
      </c>
      <c r="C794" t="s">
        <v>38</v>
      </c>
      <c r="D794" t="s">
        <v>15</v>
      </c>
      <c r="E794" s="4">
        <v>2365.87</v>
      </c>
      <c r="F794">
        <v>6</v>
      </c>
      <c r="G794" t="s">
        <v>29</v>
      </c>
      <c r="H794" s="4">
        <v>2019.9</v>
      </c>
      <c r="I794" s="4">
        <v>2116.7399999999998</v>
      </c>
      <c r="J794" t="s">
        <v>30</v>
      </c>
      <c r="K794" s="2">
        <v>0.11</v>
      </c>
      <c r="L794" t="s">
        <v>31</v>
      </c>
      <c r="M794" t="s">
        <v>19</v>
      </c>
      <c r="N794" t="s">
        <v>40</v>
      </c>
      <c r="O794" s="5">
        <f t="shared" si="12"/>
        <v>581.03999999999814</v>
      </c>
    </row>
    <row r="795" spans="1:15" x14ac:dyDescent="0.35">
      <c r="A795">
        <v>1018</v>
      </c>
      <c r="B795" s="1">
        <v>44955</v>
      </c>
      <c r="C795" t="s">
        <v>24</v>
      </c>
      <c r="D795" t="s">
        <v>21</v>
      </c>
      <c r="E795" s="4">
        <v>6008.83</v>
      </c>
      <c r="F795">
        <v>25</v>
      </c>
      <c r="G795" t="s">
        <v>26</v>
      </c>
      <c r="H795" s="4">
        <v>4660.82</v>
      </c>
      <c r="I795" s="4">
        <v>5011.4299999999903</v>
      </c>
      <c r="J795" t="s">
        <v>30</v>
      </c>
      <c r="K795" s="2">
        <v>7.0000000000000007E-2</v>
      </c>
      <c r="L795" t="s">
        <v>27</v>
      </c>
      <c r="M795" t="s">
        <v>19</v>
      </c>
      <c r="N795" t="s">
        <v>47</v>
      </c>
      <c r="O795" s="5">
        <f t="shared" si="12"/>
        <v>8765.2499999997635</v>
      </c>
    </row>
    <row r="796" spans="1:15" x14ac:dyDescent="0.35">
      <c r="A796">
        <v>1096</v>
      </c>
      <c r="B796" s="1">
        <v>44959</v>
      </c>
      <c r="C796" t="s">
        <v>42</v>
      </c>
      <c r="D796" t="s">
        <v>34</v>
      </c>
      <c r="E796" s="4">
        <v>9289</v>
      </c>
      <c r="F796">
        <v>31</v>
      </c>
      <c r="G796" t="s">
        <v>35</v>
      </c>
      <c r="H796" s="4">
        <v>1724.24</v>
      </c>
      <c r="I796" s="4">
        <v>2036.2</v>
      </c>
      <c r="J796" t="s">
        <v>30</v>
      </c>
      <c r="K796" s="2">
        <v>0.17</v>
      </c>
      <c r="L796" t="s">
        <v>18</v>
      </c>
      <c r="M796" t="s">
        <v>19</v>
      </c>
      <c r="N796" t="s">
        <v>52</v>
      </c>
      <c r="O796" s="5">
        <f t="shared" si="12"/>
        <v>9670.760000000002</v>
      </c>
    </row>
    <row r="797" spans="1:15" x14ac:dyDescent="0.35">
      <c r="A797">
        <v>1049</v>
      </c>
      <c r="B797" s="1">
        <v>45060</v>
      </c>
      <c r="C797" t="s">
        <v>38</v>
      </c>
      <c r="D797" t="s">
        <v>25</v>
      </c>
      <c r="E797" s="4">
        <v>9298.48</v>
      </c>
      <c r="F797">
        <v>22</v>
      </c>
      <c r="G797" t="s">
        <v>35</v>
      </c>
      <c r="H797" s="4">
        <v>4573.6899999999996</v>
      </c>
      <c r="I797" s="4">
        <v>4820.2999999999902</v>
      </c>
      <c r="J797" t="s">
        <v>30</v>
      </c>
      <c r="K797" s="2">
        <v>0.04</v>
      </c>
      <c r="L797" t="s">
        <v>18</v>
      </c>
      <c r="M797" t="s">
        <v>19</v>
      </c>
      <c r="N797" t="s">
        <v>39</v>
      </c>
      <c r="O797" s="5">
        <f t="shared" si="12"/>
        <v>5425.4199999997927</v>
      </c>
    </row>
    <row r="798" spans="1:15" x14ac:dyDescent="0.35">
      <c r="A798">
        <v>1011</v>
      </c>
      <c r="B798" s="1">
        <v>45005</v>
      </c>
      <c r="C798" t="s">
        <v>14</v>
      </c>
      <c r="D798" t="s">
        <v>34</v>
      </c>
      <c r="E798" s="4">
        <v>3484.86</v>
      </c>
      <c r="F798">
        <v>2</v>
      </c>
      <c r="G798" t="s">
        <v>16</v>
      </c>
      <c r="H798" s="4">
        <v>4906.17</v>
      </c>
      <c r="I798" s="4">
        <v>5107.43</v>
      </c>
      <c r="J798" t="s">
        <v>17</v>
      </c>
      <c r="K798" s="2">
        <v>0.1</v>
      </c>
      <c r="L798" t="s">
        <v>18</v>
      </c>
      <c r="M798" t="s">
        <v>19</v>
      </c>
      <c r="N798" t="s">
        <v>46</v>
      </c>
      <c r="O798" s="5">
        <f t="shared" si="12"/>
        <v>402.52000000000044</v>
      </c>
    </row>
    <row r="799" spans="1:15" x14ac:dyDescent="0.35">
      <c r="A799">
        <v>1085</v>
      </c>
      <c r="B799" s="1">
        <v>44984</v>
      </c>
      <c r="C799" t="s">
        <v>38</v>
      </c>
      <c r="D799" t="s">
        <v>21</v>
      </c>
      <c r="E799" s="4">
        <v>5324.01</v>
      </c>
      <c r="F799">
        <v>45</v>
      </c>
      <c r="G799" t="s">
        <v>16</v>
      </c>
      <c r="H799" s="4">
        <v>3325.96</v>
      </c>
      <c r="I799" s="4">
        <v>3781.4</v>
      </c>
      <c r="J799" t="s">
        <v>17</v>
      </c>
      <c r="K799" s="2">
        <v>0.27</v>
      </c>
      <c r="L799" t="s">
        <v>31</v>
      </c>
      <c r="M799" t="s">
        <v>19</v>
      </c>
      <c r="N799" t="s">
        <v>41</v>
      </c>
      <c r="O799" s="5">
        <f t="shared" si="12"/>
        <v>20494.800000000003</v>
      </c>
    </row>
    <row r="800" spans="1:15" x14ac:dyDescent="0.35">
      <c r="A800">
        <v>1026</v>
      </c>
      <c r="B800" s="1">
        <v>44952</v>
      </c>
      <c r="C800" t="s">
        <v>24</v>
      </c>
      <c r="D800" t="s">
        <v>34</v>
      </c>
      <c r="E800" s="4">
        <v>2195.1999999999998</v>
      </c>
      <c r="F800">
        <v>5</v>
      </c>
      <c r="G800" t="s">
        <v>26</v>
      </c>
      <c r="H800" s="4">
        <v>4093.61</v>
      </c>
      <c r="I800" s="4">
        <v>4117.88</v>
      </c>
      <c r="J800" t="s">
        <v>17</v>
      </c>
      <c r="K800" s="2">
        <v>0.12</v>
      </c>
      <c r="L800" t="s">
        <v>31</v>
      </c>
      <c r="M800" t="s">
        <v>22</v>
      </c>
      <c r="N800" t="s">
        <v>50</v>
      </c>
      <c r="O800" s="5">
        <f t="shared" si="12"/>
        <v>121.34999999999991</v>
      </c>
    </row>
    <row r="801" spans="1:15" x14ac:dyDescent="0.35">
      <c r="A801">
        <v>1063</v>
      </c>
      <c r="B801" s="1">
        <v>45152</v>
      </c>
      <c r="C801" t="s">
        <v>14</v>
      </c>
      <c r="D801" t="s">
        <v>15</v>
      </c>
      <c r="E801" s="4">
        <v>9956.75</v>
      </c>
      <c r="F801">
        <v>27</v>
      </c>
      <c r="G801" t="s">
        <v>29</v>
      </c>
      <c r="H801" s="4">
        <v>3760.25</v>
      </c>
      <c r="I801" s="4">
        <v>4147.1099999999997</v>
      </c>
      <c r="J801" t="s">
        <v>30</v>
      </c>
      <c r="K801" s="2">
        <v>0.22</v>
      </c>
      <c r="L801" t="s">
        <v>18</v>
      </c>
      <c r="M801" t="s">
        <v>19</v>
      </c>
      <c r="N801" t="s">
        <v>20</v>
      </c>
      <c r="O801" s="5">
        <f t="shared" si="12"/>
        <v>10445.21999999999</v>
      </c>
    </row>
    <row r="802" spans="1:15" x14ac:dyDescent="0.35">
      <c r="A802">
        <v>1089</v>
      </c>
      <c r="B802" s="1">
        <v>45211</v>
      </c>
      <c r="C802" t="s">
        <v>24</v>
      </c>
      <c r="D802" t="s">
        <v>25</v>
      </c>
      <c r="E802" s="4">
        <v>9813.07</v>
      </c>
      <c r="F802">
        <v>25</v>
      </c>
      <c r="G802" t="s">
        <v>16</v>
      </c>
      <c r="H802" s="4">
        <v>3512.69</v>
      </c>
      <c r="I802" s="4">
        <v>3964.63</v>
      </c>
      <c r="J802" t="s">
        <v>17</v>
      </c>
      <c r="K802" s="2">
        <v>0.03</v>
      </c>
      <c r="L802" t="s">
        <v>31</v>
      </c>
      <c r="M802" t="s">
        <v>22</v>
      </c>
      <c r="N802" t="s">
        <v>28</v>
      </c>
      <c r="O802" s="5">
        <f t="shared" si="12"/>
        <v>11298.500000000002</v>
      </c>
    </row>
    <row r="803" spans="1:15" x14ac:dyDescent="0.35">
      <c r="A803">
        <v>1086</v>
      </c>
      <c r="B803" s="1">
        <v>44930</v>
      </c>
      <c r="C803" t="s">
        <v>14</v>
      </c>
      <c r="D803" t="s">
        <v>25</v>
      </c>
      <c r="E803" s="4">
        <v>6530.14</v>
      </c>
      <c r="F803">
        <v>8</v>
      </c>
      <c r="G803" t="s">
        <v>16</v>
      </c>
      <c r="H803" s="4">
        <v>1569.31</v>
      </c>
      <c r="I803" s="4">
        <v>1798.02</v>
      </c>
      <c r="J803" t="s">
        <v>30</v>
      </c>
      <c r="K803" s="2">
        <v>7.0000000000000007E-2</v>
      </c>
      <c r="L803" t="s">
        <v>31</v>
      </c>
      <c r="M803" t="s">
        <v>19</v>
      </c>
      <c r="N803" t="s">
        <v>32</v>
      </c>
      <c r="O803" s="5">
        <f t="shared" si="12"/>
        <v>1829.6800000000003</v>
      </c>
    </row>
    <row r="804" spans="1:15" x14ac:dyDescent="0.35">
      <c r="A804">
        <v>1059</v>
      </c>
      <c r="B804" s="1">
        <v>45025</v>
      </c>
      <c r="C804" t="s">
        <v>33</v>
      </c>
      <c r="D804" t="s">
        <v>25</v>
      </c>
      <c r="E804" s="4">
        <v>8063.7</v>
      </c>
      <c r="F804">
        <v>1</v>
      </c>
      <c r="G804" t="s">
        <v>35</v>
      </c>
      <c r="H804" s="4">
        <v>332.62</v>
      </c>
      <c r="I804" s="4">
        <v>612.46</v>
      </c>
      <c r="J804" t="s">
        <v>17</v>
      </c>
      <c r="K804" s="2">
        <v>0.24</v>
      </c>
      <c r="L804" t="s">
        <v>18</v>
      </c>
      <c r="M804" t="s">
        <v>22</v>
      </c>
      <c r="N804" t="s">
        <v>44</v>
      </c>
      <c r="O804" s="5">
        <f t="shared" si="12"/>
        <v>279.84000000000003</v>
      </c>
    </row>
    <row r="805" spans="1:15" x14ac:dyDescent="0.35">
      <c r="A805">
        <v>1027</v>
      </c>
      <c r="B805" s="1">
        <v>44965</v>
      </c>
      <c r="C805" t="s">
        <v>42</v>
      </c>
      <c r="D805" t="s">
        <v>21</v>
      </c>
      <c r="E805" s="4">
        <v>7179.49</v>
      </c>
      <c r="F805">
        <v>20</v>
      </c>
      <c r="G805" t="s">
        <v>35</v>
      </c>
      <c r="H805" s="4">
        <v>1748.11</v>
      </c>
      <c r="I805" s="4">
        <v>2220.9</v>
      </c>
      <c r="J805" t="s">
        <v>30</v>
      </c>
      <c r="K805" s="2">
        <v>0.23</v>
      </c>
      <c r="L805" t="s">
        <v>31</v>
      </c>
      <c r="M805" t="s">
        <v>22</v>
      </c>
      <c r="N805" t="s">
        <v>51</v>
      </c>
      <c r="O805" s="5">
        <f t="shared" si="12"/>
        <v>9455.8000000000029</v>
      </c>
    </row>
    <row r="806" spans="1:15" x14ac:dyDescent="0.35">
      <c r="A806">
        <v>1049</v>
      </c>
      <c r="B806" s="1">
        <v>45197</v>
      </c>
      <c r="C806" t="s">
        <v>42</v>
      </c>
      <c r="D806" t="s">
        <v>21</v>
      </c>
      <c r="E806" s="4">
        <v>5972.27</v>
      </c>
      <c r="F806">
        <v>44</v>
      </c>
      <c r="G806" t="s">
        <v>16</v>
      </c>
      <c r="H806" s="4">
        <v>3351.33</v>
      </c>
      <c r="I806" s="4">
        <v>3465.35</v>
      </c>
      <c r="J806" t="s">
        <v>17</v>
      </c>
      <c r="K806" s="2">
        <v>0.12</v>
      </c>
      <c r="L806" t="s">
        <v>27</v>
      </c>
      <c r="M806" t="s">
        <v>19</v>
      </c>
      <c r="N806" t="s">
        <v>51</v>
      </c>
      <c r="O806" s="5">
        <f t="shared" si="12"/>
        <v>5016.8799999999992</v>
      </c>
    </row>
    <row r="807" spans="1:15" x14ac:dyDescent="0.35">
      <c r="A807">
        <v>1077</v>
      </c>
      <c r="B807" s="1">
        <v>45211</v>
      </c>
      <c r="C807" t="s">
        <v>24</v>
      </c>
      <c r="D807" t="s">
        <v>25</v>
      </c>
      <c r="E807" s="4">
        <v>628.15</v>
      </c>
      <c r="F807">
        <v>23</v>
      </c>
      <c r="G807" t="s">
        <v>35</v>
      </c>
      <c r="H807" s="4">
        <v>557.52</v>
      </c>
      <c r="I807" s="4">
        <v>822.39</v>
      </c>
      <c r="J807" t="s">
        <v>17</v>
      </c>
      <c r="K807" s="2">
        <v>0.28999999999999998</v>
      </c>
      <c r="L807" t="s">
        <v>31</v>
      </c>
      <c r="M807" t="s">
        <v>19</v>
      </c>
      <c r="N807" t="s">
        <v>28</v>
      </c>
      <c r="O807" s="5">
        <f t="shared" si="12"/>
        <v>6092.01</v>
      </c>
    </row>
    <row r="808" spans="1:15" x14ac:dyDescent="0.35">
      <c r="A808">
        <v>1033</v>
      </c>
      <c r="B808" s="1">
        <v>45083</v>
      </c>
      <c r="C808" t="s">
        <v>42</v>
      </c>
      <c r="D808" t="s">
        <v>34</v>
      </c>
      <c r="E808" s="4">
        <v>4602.17</v>
      </c>
      <c r="F808">
        <v>32</v>
      </c>
      <c r="G808" t="s">
        <v>26</v>
      </c>
      <c r="H808" s="4">
        <v>108.99</v>
      </c>
      <c r="I808" s="4">
        <v>351.6</v>
      </c>
      <c r="J808" t="s">
        <v>17</v>
      </c>
      <c r="K808" s="2">
        <v>0.27</v>
      </c>
      <c r="L808" t="s">
        <v>31</v>
      </c>
      <c r="M808" t="s">
        <v>22</v>
      </c>
      <c r="N808" t="s">
        <v>52</v>
      </c>
      <c r="O808" s="5">
        <f t="shared" si="12"/>
        <v>7763.52</v>
      </c>
    </row>
    <row r="809" spans="1:15" x14ac:dyDescent="0.35">
      <c r="A809">
        <v>1098</v>
      </c>
      <c r="B809" s="1">
        <v>45001</v>
      </c>
      <c r="C809" t="s">
        <v>24</v>
      </c>
      <c r="D809" t="s">
        <v>25</v>
      </c>
      <c r="E809" s="4">
        <v>6780.38</v>
      </c>
      <c r="F809">
        <v>11</v>
      </c>
      <c r="G809" t="s">
        <v>16</v>
      </c>
      <c r="H809" s="4">
        <v>741.48</v>
      </c>
      <c r="I809" s="4">
        <v>878.09</v>
      </c>
      <c r="J809" t="s">
        <v>30</v>
      </c>
      <c r="K809" s="2">
        <v>0.28999999999999998</v>
      </c>
      <c r="L809" t="s">
        <v>18</v>
      </c>
      <c r="M809" t="s">
        <v>22</v>
      </c>
      <c r="N809" t="s">
        <v>28</v>
      </c>
      <c r="O809" s="5">
        <f t="shared" si="12"/>
        <v>1502.71</v>
      </c>
    </row>
    <row r="810" spans="1:15" x14ac:dyDescent="0.35">
      <c r="A810">
        <v>1099</v>
      </c>
      <c r="B810" s="1">
        <v>45214</v>
      </c>
      <c r="C810" t="s">
        <v>24</v>
      </c>
      <c r="D810" t="s">
        <v>34</v>
      </c>
      <c r="E810" s="4">
        <v>6807.56</v>
      </c>
      <c r="F810">
        <v>39</v>
      </c>
      <c r="G810" t="s">
        <v>35</v>
      </c>
      <c r="H810" s="4">
        <v>3592.89</v>
      </c>
      <c r="I810" s="4">
        <v>4004</v>
      </c>
      <c r="J810" t="s">
        <v>30</v>
      </c>
      <c r="K810" s="2">
        <v>0.13</v>
      </c>
      <c r="L810" t="s">
        <v>18</v>
      </c>
      <c r="M810" t="s">
        <v>19</v>
      </c>
      <c r="N810" t="s">
        <v>50</v>
      </c>
      <c r="O810" s="5">
        <f t="shared" si="12"/>
        <v>16033.290000000005</v>
      </c>
    </row>
    <row r="811" spans="1:15" x14ac:dyDescent="0.35">
      <c r="A811">
        <v>1001</v>
      </c>
      <c r="B811" s="1">
        <v>45056</v>
      </c>
      <c r="C811" t="s">
        <v>24</v>
      </c>
      <c r="D811" t="s">
        <v>34</v>
      </c>
      <c r="E811" s="4">
        <v>3793.91</v>
      </c>
      <c r="F811">
        <v>47</v>
      </c>
      <c r="G811" t="s">
        <v>26</v>
      </c>
      <c r="H811" s="4">
        <v>4865.33</v>
      </c>
      <c r="I811" s="4">
        <v>5316.13</v>
      </c>
      <c r="J811" t="s">
        <v>30</v>
      </c>
      <c r="K811" s="2">
        <v>0.06</v>
      </c>
      <c r="L811" t="s">
        <v>27</v>
      </c>
      <c r="M811" t="s">
        <v>19</v>
      </c>
      <c r="N811" t="s">
        <v>50</v>
      </c>
      <c r="O811" s="5">
        <f t="shared" si="12"/>
        <v>21187.600000000009</v>
      </c>
    </row>
    <row r="812" spans="1:15" x14ac:dyDescent="0.35">
      <c r="A812">
        <v>1021</v>
      </c>
      <c r="B812" s="1">
        <v>45101</v>
      </c>
      <c r="C812" t="s">
        <v>42</v>
      </c>
      <c r="D812" t="s">
        <v>21</v>
      </c>
      <c r="E812" s="4">
        <v>9422.75</v>
      </c>
      <c r="F812">
        <v>24</v>
      </c>
      <c r="G812" t="s">
        <v>35</v>
      </c>
      <c r="H812" s="4">
        <v>4916.17</v>
      </c>
      <c r="I812" s="4">
        <v>5309.32</v>
      </c>
      <c r="J812" t="s">
        <v>17</v>
      </c>
      <c r="K812" s="2">
        <v>0.19</v>
      </c>
      <c r="L812" t="s">
        <v>31</v>
      </c>
      <c r="M812" t="s">
        <v>19</v>
      </c>
      <c r="N812" t="s">
        <v>51</v>
      </c>
      <c r="O812" s="5">
        <f t="shared" si="12"/>
        <v>9435.5999999999913</v>
      </c>
    </row>
    <row r="813" spans="1:15" x14ac:dyDescent="0.35">
      <c r="A813">
        <v>1055</v>
      </c>
      <c r="B813" s="1">
        <v>45010</v>
      </c>
      <c r="C813" t="s">
        <v>24</v>
      </c>
      <c r="D813" t="s">
        <v>34</v>
      </c>
      <c r="E813" s="4">
        <v>1756.83</v>
      </c>
      <c r="F813">
        <v>11</v>
      </c>
      <c r="G813" t="s">
        <v>35</v>
      </c>
      <c r="H813" s="4">
        <v>2495.1999999999998</v>
      </c>
      <c r="I813" s="4">
        <v>2600.9299999999998</v>
      </c>
      <c r="J813" t="s">
        <v>30</v>
      </c>
      <c r="K813" s="2">
        <v>0.21</v>
      </c>
      <c r="L813" t="s">
        <v>27</v>
      </c>
      <c r="M813" t="s">
        <v>22</v>
      </c>
      <c r="N813" t="s">
        <v>50</v>
      </c>
      <c r="O813" s="5">
        <f t="shared" si="12"/>
        <v>1163.0300000000002</v>
      </c>
    </row>
    <row r="814" spans="1:15" x14ac:dyDescent="0.35">
      <c r="A814">
        <v>1006</v>
      </c>
      <c r="B814" s="1">
        <v>44948</v>
      </c>
      <c r="C814" t="s">
        <v>42</v>
      </c>
      <c r="D814" t="s">
        <v>25</v>
      </c>
      <c r="E814" s="4">
        <v>5053.5600000000004</v>
      </c>
      <c r="F814">
        <v>29</v>
      </c>
      <c r="G814" t="s">
        <v>35</v>
      </c>
      <c r="H814" s="4">
        <v>4353.29</v>
      </c>
      <c r="I814" s="4">
        <v>4405.8</v>
      </c>
      <c r="J814" t="s">
        <v>30</v>
      </c>
      <c r="K814" s="2">
        <v>0.04</v>
      </c>
      <c r="L814" t="s">
        <v>27</v>
      </c>
      <c r="M814" t="s">
        <v>19</v>
      </c>
      <c r="N814" t="s">
        <v>43</v>
      </c>
      <c r="O814" s="5">
        <f t="shared" si="12"/>
        <v>1522.7900000000063</v>
      </c>
    </row>
    <row r="815" spans="1:15" x14ac:dyDescent="0.35">
      <c r="A815">
        <v>1092</v>
      </c>
      <c r="B815" s="1">
        <v>44953</v>
      </c>
      <c r="C815" t="s">
        <v>24</v>
      </c>
      <c r="D815" t="s">
        <v>21</v>
      </c>
      <c r="E815" s="4">
        <v>6939.75</v>
      </c>
      <c r="F815">
        <v>26</v>
      </c>
      <c r="G815" t="s">
        <v>16</v>
      </c>
      <c r="H815" s="4">
        <v>3697.29</v>
      </c>
      <c r="I815" s="4">
        <v>4003.96</v>
      </c>
      <c r="J815" t="s">
        <v>30</v>
      </c>
      <c r="K815" s="2">
        <v>0.24</v>
      </c>
      <c r="L815" t="s">
        <v>18</v>
      </c>
      <c r="M815" t="s">
        <v>19</v>
      </c>
      <c r="N815" t="s">
        <v>47</v>
      </c>
      <c r="O815" s="5">
        <f t="shared" si="12"/>
        <v>7973.4200000000019</v>
      </c>
    </row>
    <row r="816" spans="1:15" x14ac:dyDescent="0.35">
      <c r="A816">
        <v>1081</v>
      </c>
      <c r="B816" s="1">
        <v>45121</v>
      </c>
      <c r="C816" t="s">
        <v>38</v>
      </c>
      <c r="D816" t="s">
        <v>15</v>
      </c>
      <c r="E816" s="4">
        <v>7001.64</v>
      </c>
      <c r="F816">
        <v>16</v>
      </c>
      <c r="G816" t="s">
        <v>29</v>
      </c>
      <c r="H816" s="4">
        <v>2530.15</v>
      </c>
      <c r="I816" s="4">
        <v>2568.13</v>
      </c>
      <c r="J816" t="s">
        <v>30</v>
      </c>
      <c r="K816" s="2">
        <v>0.01</v>
      </c>
      <c r="L816" t="s">
        <v>31</v>
      </c>
      <c r="M816" t="s">
        <v>19</v>
      </c>
      <c r="N816" t="s">
        <v>40</v>
      </c>
      <c r="O816" s="5">
        <f t="shared" si="12"/>
        <v>607.68000000000029</v>
      </c>
    </row>
    <row r="817" spans="1:15" x14ac:dyDescent="0.35">
      <c r="A817">
        <v>1069</v>
      </c>
      <c r="B817" s="1">
        <v>45263</v>
      </c>
      <c r="C817" t="s">
        <v>24</v>
      </c>
      <c r="D817" t="s">
        <v>15</v>
      </c>
      <c r="E817" s="4">
        <v>6521.53</v>
      </c>
      <c r="F817">
        <v>35</v>
      </c>
      <c r="G817" t="s">
        <v>35</v>
      </c>
      <c r="H817" s="4">
        <v>2885.16</v>
      </c>
      <c r="I817" s="4">
        <v>3224.8399999999901</v>
      </c>
      <c r="J817" t="s">
        <v>30</v>
      </c>
      <c r="K817" s="2">
        <v>0.14000000000000001</v>
      </c>
      <c r="L817" t="s">
        <v>18</v>
      </c>
      <c r="M817" t="s">
        <v>19</v>
      </c>
      <c r="N817" t="s">
        <v>45</v>
      </c>
      <c r="O817" s="5">
        <f t="shared" si="12"/>
        <v>11888.799999999661</v>
      </c>
    </row>
    <row r="818" spans="1:15" x14ac:dyDescent="0.35">
      <c r="A818">
        <v>1095</v>
      </c>
      <c r="B818" s="1">
        <v>45162</v>
      </c>
      <c r="C818" t="s">
        <v>14</v>
      </c>
      <c r="D818" t="s">
        <v>21</v>
      </c>
      <c r="E818" s="4">
        <v>2825.35</v>
      </c>
      <c r="F818">
        <v>20</v>
      </c>
      <c r="G818" t="s">
        <v>26</v>
      </c>
      <c r="H818" s="4">
        <v>729.27</v>
      </c>
      <c r="I818" s="4">
        <v>999.18</v>
      </c>
      <c r="J818" t="s">
        <v>30</v>
      </c>
      <c r="K818" s="2">
        <v>0.1</v>
      </c>
      <c r="L818" t="s">
        <v>27</v>
      </c>
      <c r="M818" t="s">
        <v>19</v>
      </c>
      <c r="N818" t="s">
        <v>23</v>
      </c>
      <c r="O818" s="5">
        <f t="shared" si="12"/>
        <v>5398.1999999999989</v>
      </c>
    </row>
    <row r="819" spans="1:15" x14ac:dyDescent="0.35">
      <c r="A819">
        <v>1005</v>
      </c>
      <c r="B819" s="1">
        <v>45018</v>
      </c>
      <c r="C819" t="s">
        <v>24</v>
      </c>
      <c r="D819" t="s">
        <v>25</v>
      </c>
      <c r="E819" s="4">
        <v>1646.45</v>
      </c>
      <c r="F819">
        <v>46</v>
      </c>
      <c r="G819" t="s">
        <v>16</v>
      </c>
      <c r="H819" s="4">
        <v>4691.42</v>
      </c>
      <c r="I819" s="4">
        <v>5026.1899999999996</v>
      </c>
      <c r="J819" t="s">
        <v>17</v>
      </c>
      <c r="K819" s="2">
        <v>0.22</v>
      </c>
      <c r="L819" t="s">
        <v>27</v>
      </c>
      <c r="M819" t="s">
        <v>22</v>
      </c>
      <c r="N819" t="s">
        <v>28</v>
      </c>
      <c r="O819" s="5">
        <f t="shared" si="12"/>
        <v>15399.419999999978</v>
      </c>
    </row>
    <row r="820" spans="1:15" x14ac:dyDescent="0.35">
      <c r="A820">
        <v>1003</v>
      </c>
      <c r="B820" s="1">
        <v>44947</v>
      </c>
      <c r="C820" t="s">
        <v>33</v>
      </c>
      <c r="D820" t="s">
        <v>15</v>
      </c>
      <c r="E820" s="4">
        <v>6395.81</v>
      </c>
      <c r="F820">
        <v>3</v>
      </c>
      <c r="G820" t="s">
        <v>16</v>
      </c>
      <c r="H820" s="4">
        <v>1792.05</v>
      </c>
      <c r="I820" s="4">
        <v>2091.23</v>
      </c>
      <c r="J820" t="s">
        <v>17</v>
      </c>
      <c r="K820" s="2">
        <v>0.09</v>
      </c>
      <c r="L820" t="s">
        <v>18</v>
      </c>
      <c r="M820" t="s">
        <v>22</v>
      </c>
      <c r="N820" t="s">
        <v>53</v>
      </c>
      <c r="O820" s="5">
        <f t="shared" si="12"/>
        <v>897.54000000000019</v>
      </c>
    </row>
    <row r="821" spans="1:15" x14ac:dyDescent="0.35">
      <c r="A821">
        <v>1053</v>
      </c>
      <c r="B821" s="1">
        <v>45229</v>
      </c>
      <c r="C821" t="s">
        <v>24</v>
      </c>
      <c r="D821" t="s">
        <v>15</v>
      </c>
      <c r="E821" s="4">
        <v>6033.09</v>
      </c>
      <c r="F821">
        <v>1</v>
      </c>
      <c r="G821" t="s">
        <v>26</v>
      </c>
      <c r="H821" s="4">
        <v>2258.44</v>
      </c>
      <c r="I821" s="4">
        <v>2475.56</v>
      </c>
      <c r="J821" t="s">
        <v>30</v>
      </c>
      <c r="K821" s="2">
        <v>0.25</v>
      </c>
      <c r="L821" t="s">
        <v>18</v>
      </c>
      <c r="M821" t="s">
        <v>19</v>
      </c>
      <c r="N821" t="s">
        <v>45</v>
      </c>
      <c r="O821" s="5">
        <f t="shared" si="12"/>
        <v>217.11999999999989</v>
      </c>
    </row>
    <row r="822" spans="1:15" x14ac:dyDescent="0.35">
      <c r="A822">
        <v>1023</v>
      </c>
      <c r="B822" s="1">
        <v>45283</v>
      </c>
      <c r="C822" t="s">
        <v>14</v>
      </c>
      <c r="D822" t="s">
        <v>34</v>
      </c>
      <c r="E822" s="4">
        <v>1875.62</v>
      </c>
      <c r="F822">
        <v>47</v>
      </c>
      <c r="G822" t="s">
        <v>35</v>
      </c>
      <c r="H822" s="4">
        <v>3374.72</v>
      </c>
      <c r="I822" s="4">
        <v>3483.1499999999901</v>
      </c>
      <c r="J822" t="s">
        <v>17</v>
      </c>
      <c r="K822" s="2">
        <v>0.18</v>
      </c>
      <c r="L822" t="s">
        <v>18</v>
      </c>
      <c r="M822" t="s">
        <v>19</v>
      </c>
      <c r="N822" t="s">
        <v>46</v>
      </c>
      <c r="O822" s="5">
        <f t="shared" si="12"/>
        <v>5096.2099999995435</v>
      </c>
    </row>
    <row r="823" spans="1:15" x14ac:dyDescent="0.35">
      <c r="A823">
        <v>1053</v>
      </c>
      <c r="B823" s="1">
        <v>45010</v>
      </c>
      <c r="C823" t="s">
        <v>14</v>
      </c>
      <c r="D823" t="s">
        <v>34</v>
      </c>
      <c r="E823" s="4">
        <v>7080.88</v>
      </c>
      <c r="F823">
        <v>1</v>
      </c>
      <c r="G823" t="s">
        <v>29</v>
      </c>
      <c r="H823" s="4">
        <v>1702.82</v>
      </c>
      <c r="I823" s="4">
        <v>1862.61</v>
      </c>
      <c r="J823" t="s">
        <v>17</v>
      </c>
      <c r="K823" s="2">
        <v>0.24</v>
      </c>
      <c r="L823" t="s">
        <v>18</v>
      </c>
      <c r="M823" t="s">
        <v>22</v>
      </c>
      <c r="N823" t="s">
        <v>46</v>
      </c>
      <c r="O823" s="5">
        <f t="shared" si="12"/>
        <v>159.78999999999996</v>
      </c>
    </row>
    <row r="824" spans="1:15" x14ac:dyDescent="0.35">
      <c r="A824">
        <v>1037</v>
      </c>
      <c r="B824" s="1">
        <v>45188</v>
      </c>
      <c r="C824" t="s">
        <v>42</v>
      </c>
      <c r="D824" t="s">
        <v>25</v>
      </c>
      <c r="E824" s="4">
        <v>4606.2</v>
      </c>
      <c r="F824">
        <v>17</v>
      </c>
      <c r="G824" t="s">
        <v>35</v>
      </c>
      <c r="H824" s="4">
        <v>1308.58</v>
      </c>
      <c r="I824" s="4">
        <v>1575.59</v>
      </c>
      <c r="J824" t="s">
        <v>30</v>
      </c>
      <c r="K824" s="2">
        <v>0.3</v>
      </c>
      <c r="L824" t="s">
        <v>18</v>
      </c>
      <c r="M824" t="s">
        <v>19</v>
      </c>
      <c r="N824" t="s">
        <v>43</v>
      </c>
      <c r="O824" s="5">
        <f t="shared" si="12"/>
        <v>4539.17</v>
      </c>
    </row>
    <row r="825" spans="1:15" x14ac:dyDescent="0.35">
      <c r="A825">
        <v>1074</v>
      </c>
      <c r="B825" s="1">
        <v>45073</v>
      </c>
      <c r="C825" t="s">
        <v>38</v>
      </c>
      <c r="D825" t="s">
        <v>21</v>
      </c>
      <c r="E825" s="4">
        <v>6710.83</v>
      </c>
      <c r="F825">
        <v>2</v>
      </c>
      <c r="G825" t="s">
        <v>26</v>
      </c>
      <c r="H825" s="4">
        <v>3173.69</v>
      </c>
      <c r="I825" s="4">
        <v>3503.11</v>
      </c>
      <c r="J825" t="s">
        <v>30</v>
      </c>
      <c r="K825" s="2">
        <v>0.2</v>
      </c>
      <c r="L825" t="s">
        <v>27</v>
      </c>
      <c r="M825" t="s">
        <v>22</v>
      </c>
      <c r="N825" t="s">
        <v>41</v>
      </c>
      <c r="O825" s="5">
        <f t="shared" si="12"/>
        <v>658.84000000000015</v>
      </c>
    </row>
    <row r="826" spans="1:15" x14ac:dyDescent="0.35">
      <c r="A826">
        <v>1074</v>
      </c>
      <c r="B826" s="1">
        <v>45183</v>
      </c>
      <c r="C826" t="s">
        <v>24</v>
      </c>
      <c r="D826" t="s">
        <v>25</v>
      </c>
      <c r="E826" s="4">
        <v>8389.93</v>
      </c>
      <c r="F826">
        <v>29</v>
      </c>
      <c r="G826" t="s">
        <v>16</v>
      </c>
      <c r="H826" s="4">
        <v>173.67</v>
      </c>
      <c r="I826" s="4">
        <v>565.62</v>
      </c>
      <c r="J826" t="s">
        <v>17</v>
      </c>
      <c r="K826" s="2">
        <v>0.3</v>
      </c>
      <c r="L826" t="s">
        <v>18</v>
      </c>
      <c r="M826" t="s">
        <v>19</v>
      </c>
      <c r="N826" t="s">
        <v>28</v>
      </c>
      <c r="O826" s="5">
        <f t="shared" si="12"/>
        <v>11366.550000000001</v>
      </c>
    </row>
    <row r="827" spans="1:15" x14ac:dyDescent="0.35">
      <c r="A827">
        <v>1083</v>
      </c>
      <c r="B827" s="1">
        <v>44984</v>
      </c>
      <c r="C827" t="s">
        <v>42</v>
      </c>
      <c r="D827" t="s">
        <v>21</v>
      </c>
      <c r="E827" s="4">
        <v>1780.31</v>
      </c>
      <c r="F827">
        <v>20</v>
      </c>
      <c r="G827" t="s">
        <v>29</v>
      </c>
      <c r="H827" s="4">
        <v>3617.59</v>
      </c>
      <c r="I827" s="4">
        <v>4003.5</v>
      </c>
      <c r="J827" t="s">
        <v>30</v>
      </c>
      <c r="K827" s="2">
        <v>0.01</v>
      </c>
      <c r="L827" t="s">
        <v>31</v>
      </c>
      <c r="M827" t="s">
        <v>22</v>
      </c>
      <c r="N827" t="s">
        <v>51</v>
      </c>
      <c r="O827" s="5">
        <f t="shared" si="12"/>
        <v>7718.1999999999971</v>
      </c>
    </row>
    <row r="828" spans="1:15" x14ac:dyDescent="0.35">
      <c r="A828">
        <v>1017</v>
      </c>
      <c r="B828" s="1">
        <v>44941</v>
      </c>
      <c r="C828" t="s">
        <v>38</v>
      </c>
      <c r="D828" t="s">
        <v>15</v>
      </c>
      <c r="E828" s="4">
        <v>289.52999999999997</v>
      </c>
      <c r="F828">
        <v>6</v>
      </c>
      <c r="G828" t="s">
        <v>16</v>
      </c>
      <c r="H828" s="4">
        <v>2594.42</v>
      </c>
      <c r="I828" s="4">
        <v>3081.04</v>
      </c>
      <c r="J828" t="s">
        <v>17</v>
      </c>
      <c r="K828" s="2">
        <v>0.1</v>
      </c>
      <c r="L828" t="s">
        <v>27</v>
      </c>
      <c r="M828" t="s">
        <v>22</v>
      </c>
      <c r="N828" t="s">
        <v>40</v>
      </c>
      <c r="O828" s="5">
        <f t="shared" si="12"/>
        <v>2919.7199999999993</v>
      </c>
    </row>
    <row r="829" spans="1:15" x14ac:dyDescent="0.35">
      <c r="A829">
        <v>1085</v>
      </c>
      <c r="B829" s="1">
        <v>45088</v>
      </c>
      <c r="C829" t="s">
        <v>24</v>
      </c>
      <c r="D829" t="s">
        <v>34</v>
      </c>
      <c r="E829" s="4">
        <v>7813.12</v>
      </c>
      <c r="F829">
        <v>8</v>
      </c>
      <c r="G829" t="s">
        <v>26</v>
      </c>
      <c r="H829" s="4">
        <v>3048.48</v>
      </c>
      <c r="I829" s="4">
        <v>3198.54</v>
      </c>
      <c r="J829" t="s">
        <v>17</v>
      </c>
      <c r="K829" s="2">
        <v>0.03</v>
      </c>
      <c r="L829" t="s">
        <v>27</v>
      </c>
      <c r="M829" t="s">
        <v>19</v>
      </c>
      <c r="N829" t="s">
        <v>50</v>
      </c>
      <c r="O829" s="5">
        <f t="shared" si="12"/>
        <v>1200.4799999999996</v>
      </c>
    </row>
    <row r="830" spans="1:15" x14ac:dyDescent="0.35">
      <c r="A830">
        <v>1078</v>
      </c>
      <c r="B830" s="1">
        <v>45089</v>
      </c>
      <c r="C830" t="s">
        <v>33</v>
      </c>
      <c r="D830" t="s">
        <v>25</v>
      </c>
      <c r="E830" s="4">
        <v>6136</v>
      </c>
      <c r="F830">
        <v>29</v>
      </c>
      <c r="G830" t="s">
        <v>35</v>
      </c>
      <c r="H830" s="4">
        <v>3177.81</v>
      </c>
      <c r="I830" s="4">
        <v>3222.65</v>
      </c>
      <c r="J830" t="s">
        <v>17</v>
      </c>
      <c r="K830" s="2">
        <v>0.08</v>
      </c>
      <c r="L830" t="s">
        <v>31</v>
      </c>
      <c r="M830" t="s">
        <v>22</v>
      </c>
      <c r="N830" t="s">
        <v>44</v>
      </c>
      <c r="O830" s="5">
        <f t="shared" si="12"/>
        <v>1300.3600000000042</v>
      </c>
    </row>
    <row r="831" spans="1:15" x14ac:dyDescent="0.35">
      <c r="A831">
        <v>1073</v>
      </c>
      <c r="B831" s="1">
        <v>45246</v>
      </c>
      <c r="C831" t="s">
        <v>24</v>
      </c>
      <c r="D831" t="s">
        <v>25</v>
      </c>
      <c r="E831" s="4">
        <v>7026.43</v>
      </c>
      <c r="F831">
        <v>48</v>
      </c>
      <c r="G831" t="s">
        <v>29</v>
      </c>
      <c r="H831" s="4">
        <v>2658.9</v>
      </c>
      <c r="I831" s="4">
        <v>2838.27</v>
      </c>
      <c r="J831" t="s">
        <v>30</v>
      </c>
      <c r="K831" s="2">
        <v>0.25</v>
      </c>
      <c r="L831" t="s">
        <v>31</v>
      </c>
      <c r="M831" t="s">
        <v>19</v>
      </c>
      <c r="N831" t="s">
        <v>28</v>
      </c>
      <c r="O831" s="5">
        <f t="shared" si="12"/>
        <v>8609.7599999999948</v>
      </c>
    </row>
    <row r="832" spans="1:15" x14ac:dyDescent="0.35">
      <c r="A832">
        <v>1001</v>
      </c>
      <c r="B832" s="1">
        <v>45207</v>
      </c>
      <c r="C832" t="s">
        <v>14</v>
      </c>
      <c r="D832" t="s">
        <v>21</v>
      </c>
      <c r="E832" s="4">
        <v>8397.73</v>
      </c>
      <c r="F832">
        <v>33</v>
      </c>
      <c r="G832" t="s">
        <v>16</v>
      </c>
      <c r="H832" s="4">
        <v>2933.54</v>
      </c>
      <c r="I832" s="4">
        <v>3307.75</v>
      </c>
      <c r="J832" t="s">
        <v>17</v>
      </c>
      <c r="K832" s="2">
        <v>0.01</v>
      </c>
      <c r="L832" t="s">
        <v>27</v>
      </c>
      <c r="M832" t="s">
        <v>22</v>
      </c>
      <c r="N832" t="s">
        <v>23</v>
      </c>
      <c r="O832" s="5">
        <f t="shared" si="12"/>
        <v>12348.93</v>
      </c>
    </row>
    <row r="833" spans="1:15" x14ac:dyDescent="0.35">
      <c r="A833">
        <v>1051</v>
      </c>
      <c r="B833" s="1">
        <v>45206</v>
      </c>
      <c r="C833" t="s">
        <v>14</v>
      </c>
      <c r="D833" t="s">
        <v>21</v>
      </c>
      <c r="E833" s="4">
        <v>8047.83</v>
      </c>
      <c r="F833">
        <v>3</v>
      </c>
      <c r="G833" t="s">
        <v>16</v>
      </c>
      <c r="H833" s="4">
        <v>3434.75</v>
      </c>
      <c r="I833" s="4">
        <v>3659.42</v>
      </c>
      <c r="J833" t="s">
        <v>30</v>
      </c>
      <c r="K833" s="2">
        <v>0.16</v>
      </c>
      <c r="L833" t="s">
        <v>18</v>
      </c>
      <c r="M833" t="s">
        <v>19</v>
      </c>
      <c r="N833" t="s">
        <v>23</v>
      </c>
      <c r="O833" s="5">
        <f t="shared" si="12"/>
        <v>674.01000000000022</v>
      </c>
    </row>
    <row r="834" spans="1:15" x14ac:dyDescent="0.35">
      <c r="A834">
        <v>1045</v>
      </c>
      <c r="B834" s="1">
        <v>44938</v>
      </c>
      <c r="C834" t="s">
        <v>33</v>
      </c>
      <c r="D834" t="s">
        <v>25</v>
      </c>
      <c r="E834" s="4">
        <v>9613.11</v>
      </c>
      <c r="F834">
        <v>35</v>
      </c>
      <c r="G834" t="s">
        <v>16</v>
      </c>
      <c r="H834" s="4">
        <v>3777.94</v>
      </c>
      <c r="I834" s="4">
        <v>4188.66</v>
      </c>
      <c r="J834" t="s">
        <v>30</v>
      </c>
      <c r="K834" s="2">
        <v>0.17</v>
      </c>
      <c r="L834" t="s">
        <v>27</v>
      </c>
      <c r="M834" t="s">
        <v>19</v>
      </c>
      <c r="N834" t="s">
        <v>44</v>
      </c>
      <c r="O834" s="5">
        <f t="shared" ref="O834:O897" si="13">(I834-H834)*F834</f>
        <v>14375.199999999993</v>
      </c>
    </row>
    <row r="835" spans="1:15" x14ac:dyDescent="0.35">
      <c r="A835">
        <v>1077</v>
      </c>
      <c r="B835" s="1">
        <v>45200</v>
      </c>
      <c r="C835" t="s">
        <v>42</v>
      </c>
      <c r="D835" t="s">
        <v>21</v>
      </c>
      <c r="E835" s="4">
        <v>5405.76</v>
      </c>
      <c r="F835">
        <v>5</v>
      </c>
      <c r="G835" t="s">
        <v>35</v>
      </c>
      <c r="H835" s="4">
        <v>3650.89</v>
      </c>
      <c r="I835" s="4">
        <v>3930.06</v>
      </c>
      <c r="J835" t="s">
        <v>30</v>
      </c>
      <c r="K835" s="2">
        <v>0.17</v>
      </c>
      <c r="L835" t="s">
        <v>27</v>
      </c>
      <c r="M835" t="s">
        <v>19</v>
      </c>
      <c r="N835" t="s">
        <v>51</v>
      </c>
      <c r="O835" s="5">
        <f t="shared" si="13"/>
        <v>1395.8500000000004</v>
      </c>
    </row>
    <row r="836" spans="1:15" x14ac:dyDescent="0.35">
      <c r="A836">
        <v>1004</v>
      </c>
      <c r="B836" s="1">
        <v>45197</v>
      </c>
      <c r="C836" t="s">
        <v>38</v>
      </c>
      <c r="D836" t="s">
        <v>25</v>
      </c>
      <c r="E836" s="4">
        <v>4936.1099999999997</v>
      </c>
      <c r="F836">
        <v>27</v>
      </c>
      <c r="G836" t="s">
        <v>29</v>
      </c>
      <c r="H836" s="4">
        <v>4354.6000000000004</v>
      </c>
      <c r="I836" s="4">
        <v>4820.2</v>
      </c>
      <c r="J836" t="s">
        <v>30</v>
      </c>
      <c r="K836" s="2">
        <v>0.14000000000000001</v>
      </c>
      <c r="L836" t="s">
        <v>31</v>
      </c>
      <c r="M836" t="s">
        <v>22</v>
      </c>
      <c r="N836" t="s">
        <v>39</v>
      </c>
      <c r="O836" s="5">
        <f t="shared" si="13"/>
        <v>12571.199999999986</v>
      </c>
    </row>
    <row r="837" spans="1:15" x14ac:dyDescent="0.35">
      <c r="A837">
        <v>1062</v>
      </c>
      <c r="B837" s="1">
        <v>45134</v>
      </c>
      <c r="C837" t="s">
        <v>24</v>
      </c>
      <c r="D837" t="s">
        <v>25</v>
      </c>
      <c r="E837" s="4">
        <v>4078.68</v>
      </c>
      <c r="F837">
        <v>44</v>
      </c>
      <c r="G837" t="s">
        <v>35</v>
      </c>
      <c r="H837" s="4">
        <v>987.74</v>
      </c>
      <c r="I837" s="4">
        <v>1462.19</v>
      </c>
      <c r="J837" t="s">
        <v>30</v>
      </c>
      <c r="K837" s="2">
        <v>0.24</v>
      </c>
      <c r="L837" t="s">
        <v>27</v>
      </c>
      <c r="M837" t="s">
        <v>19</v>
      </c>
      <c r="N837" t="s">
        <v>28</v>
      </c>
      <c r="O837" s="5">
        <f t="shared" si="13"/>
        <v>20875.800000000003</v>
      </c>
    </row>
    <row r="838" spans="1:15" x14ac:dyDescent="0.35">
      <c r="A838">
        <v>1065</v>
      </c>
      <c r="B838" s="1">
        <v>44953</v>
      </c>
      <c r="C838" t="s">
        <v>14</v>
      </c>
      <c r="D838" t="s">
        <v>25</v>
      </c>
      <c r="E838" s="4">
        <v>1621.54</v>
      </c>
      <c r="F838">
        <v>12</v>
      </c>
      <c r="G838" t="s">
        <v>35</v>
      </c>
      <c r="H838" s="4">
        <v>2035.68</v>
      </c>
      <c r="I838" s="4">
        <v>2079.64</v>
      </c>
      <c r="J838" t="s">
        <v>17</v>
      </c>
      <c r="K838" s="2">
        <v>0.04</v>
      </c>
      <c r="L838" t="s">
        <v>18</v>
      </c>
      <c r="M838" t="s">
        <v>19</v>
      </c>
      <c r="N838" t="s">
        <v>32</v>
      </c>
      <c r="O838" s="5">
        <f t="shared" si="13"/>
        <v>527.51999999999771</v>
      </c>
    </row>
    <row r="839" spans="1:15" x14ac:dyDescent="0.35">
      <c r="A839">
        <v>1032</v>
      </c>
      <c r="B839" s="1">
        <v>44998</v>
      </c>
      <c r="C839" t="s">
        <v>42</v>
      </c>
      <c r="D839" t="s">
        <v>15</v>
      </c>
      <c r="E839" s="4">
        <v>5768.81</v>
      </c>
      <c r="F839">
        <v>20</v>
      </c>
      <c r="G839" t="s">
        <v>35</v>
      </c>
      <c r="H839" s="4">
        <v>4741.59</v>
      </c>
      <c r="I839" s="4">
        <v>4975.2299999999996</v>
      </c>
      <c r="J839" t="s">
        <v>30</v>
      </c>
      <c r="K839" s="2">
        <v>0.09</v>
      </c>
      <c r="L839" t="s">
        <v>31</v>
      </c>
      <c r="M839" t="s">
        <v>19</v>
      </c>
      <c r="N839" t="s">
        <v>49</v>
      </c>
      <c r="O839" s="5">
        <f t="shared" si="13"/>
        <v>4672.7999999999884</v>
      </c>
    </row>
    <row r="840" spans="1:15" x14ac:dyDescent="0.35">
      <c r="A840">
        <v>1034</v>
      </c>
      <c r="B840" s="1">
        <v>44986</v>
      </c>
      <c r="C840" t="s">
        <v>33</v>
      </c>
      <c r="D840" t="s">
        <v>21</v>
      </c>
      <c r="E840" s="4">
        <v>2842.42</v>
      </c>
      <c r="F840">
        <v>45</v>
      </c>
      <c r="G840" t="s">
        <v>26</v>
      </c>
      <c r="H840" s="4">
        <v>2013.12</v>
      </c>
      <c r="I840" s="4">
        <v>2321.87</v>
      </c>
      <c r="J840" t="s">
        <v>30</v>
      </c>
      <c r="K840" s="2">
        <v>0.18</v>
      </c>
      <c r="L840" t="s">
        <v>27</v>
      </c>
      <c r="M840" t="s">
        <v>22</v>
      </c>
      <c r="N840" t="s">
        <v>37</v>
      </c>
      <c r="O840" s="5">
        <f t="shared" si="13"/>
        <v>13893.75</v>
      </c>
    </row>
    <row r="841" spans="1:15" x14ac:dyDescent="0.35">
      <c r="A841">
        <v>1092</v>
      </c>
      <c r="B841" s="1">
        <v>45071</v>
      </c>
      <c r="C841" t="s">
        <v>14</v>
      </c>
      <c r="D841" t="s">
        <v>34</v>
      </c>
      <c r="E841" s="4">
        <v>9220.94</v>
      </c>
      <c r="F841">
        <v>20</v>
      </c>
      <c r="G841" t="s">
        <v>26</v>
      </c>
      <c r="H841" s="4">
        <v>668.11</v>
      </c>
      <c r="I841" s="4">
        <v>803.49</v>
      </c>
      <c r="J841" t="s">
        <v>30</v>
      </c>
      <c r="K841" s="2">
        <v>0.21</v>
      </c>
      <c r="L841" t="s">
        <v>27</v>
      </c>
      <c r="M841" t="s">
        <v>19</v>
      </c>
      <c r="N841" t="s">
        <v>46</v>
      </c>
      <c r="O841" s="5">
        <f t="shared" si="13"/>
        <v>2707.6</v>
      </c>
    </row>
    <row r="842" spans="1:15" x14ac:dyDescent="0.35">
      <c r="A842">
        <v>1095</v>
      </c>
      <c r="B842" s="1">
        <v>45019</v>
      </c>
      <c r="C842" t="s">
        <v>33</v>
      </c>
      <c r="D842" t="s">
        <v>34</v>
      </c>
      <c r="E842" s="4">
        <v>5873.59</v>
      </c>
      <c r="F842">
        <v>9</v>
      </c>
      <c r="G842" t="s">
        <v>26</v>
      </c>
      <c r="H842" s="4">
        <v>2650.95</v>
      </c>
      <c r="I842" s="4">
        <v>2860.4199999999901</v>
      </c>
      <c r="J842" t="s">
        <v>30</v>
      </c>
      <c r="K842" s="2">
        <v>0.12</v>
      </c>
      <c r="L842" t="s">
        <v>18</v>
      </c>
      <c r="M842" t="s">
        <v>22</v>
      </c>
      <c r="N842" t="s">
        <v>36</v>
      </c>
      <c r="O842" s="5">
        <f t="shared" si="13"/>
        <v>1885.2299999999123</v>
      </c>
    </row>
    <row r="843" spans="1:15" x14ac:dyDescent="0.35">
      <c r="A843">
        <v>1072</v>
      </c>
      <c r="B843" s="1">
        <v>45235</v>
      </c>
      <c r="C843" t="s">
        <v>24</v>
      </c>
      <c r="D843" t="s">
        <v>21</v>
      </c>
      <c r="E843" s="4">
        <v>5969.12</v>
      </c>
      <c r="F843">
        <v>39</v>
      </c>
      <c r="G843" t="s">
        <v>29</v>
      </c>
      <c r="H843" s="4">
        <v>591.98</v>
      </c>
      <c r="I843" s="4">
        <v>934.04</v>
      </c>
      <c r="J843" t="s">
        <v>30</v>
      </c>
      <c r="K843" s="2">
        <v>0.26</v>
      </c>
      <c r="L843" t="s">
        <v>27</v>
      </c>
      <c r="M843" t="s">
        <v>22</v>
      </c>
      <c r="N843" t="s">
        <v>47</v>
      </c>
      <c r="O843" s="5">
        <f t="shared" si="13"/>
        <v>13340.339999999998</v>
      </c>
    </row>
    <row r="844" spans="1:15" x14ac:dyDescent="0.35">
      <c r="A844">
        <v>1039</v>
      </c>
      <c r="B844" s="1">
        <v>44934</v>
      </c>
      <c r="C844" t="s">
        <v>38</v>
      </c>
      <c r="D844" t="s">
        <v>25</v>
      </c>
      <c r="E844" s="4">
        <v>3613.75</v>
      </c>
      <c r="F844">
        <v>4</v>
      </c>
      <c r="G844" t="s">
        <v>35</v>
      </c>
      <c r="H844" s="4">
        <v>1054.1199999999999</v>
      </c>
      <c r="I844" s="4">
        <v>1175.21999999999</v>
      </c>
      <c r="J844" t="s">
        <v>17</v>
      </c>
      <c r="K844" s="2">
        <v>0.12</v>
      </c>
      <c r="L844" t="s">
        <v>27</v>
      </c>
      <c r="M844" t="s">
        <v>22</v>
      </c>
      <c r="N844" t="s">
        <v>39</v>
      </c>
      <c r="O844" s="5">
        <f t="shared" si="13"/>
        <v>484.39999999996053</v>
      </c>
    </row>
    <row r="845" spans="1:15" x14ac:dyDescent="0.35">
      <c r="A845">
        <v>1026</v>
      </c>
      <c r="B845" s="1">
        <v>45005</v>
      </c>
      <c r="C845" t="s">
        <v>14</v>
      </c>
      <c r="D845" t="s">
        <v>34</v>
      </c>
      <c r="E845" s="4">
        <v>614.69000000000005</v>
      </c>
      <c r="F845">
        <v>19</v>
      </c>
      <c r="G845" t="s">
        <v>35</v>
      </c>
      <c r="H845" s="4">
        <v>4991.68</v>
      </c>
      <c r="I845" s="4">
        <v>5296.65</v>
      </c>
      <c r="J845" t="s">
        <v>30</v>
      </c>
      <c r="K845" s="2">
        <v>0.12</v>
      </c>
      <c r="L845" t="s">
        <v>27</v>
      </c>
      <c r="M845" t="s">
        <v>19</v>
      </c>
      <c r="N845" t="s">
        <v>46</v>
      </c>
      <c r="O845" s="5">
        <f t="shared" si="13"/>
        <v>5794.4299999999876</v>
      </c>
    </row>
    <row r="846" spans="1:15" x14ac:dyDescent="0.35">
      <c r="A846">
        <v>1034</v>
      </c>
      <c r="B846" s="1">
        <v>44953</v>
      </c>
      <c r="C846" t="s">
        <v>14</v>
      </c>
      <c r="D846" t="s">
        <v>34</v>
      </c>
      <c r="E846" s="4">
        <v>414.26</v>
      </c>
      <c r="F846">
        <v>38</v>
      </c>
      <c r="G846" t="s">
        <v>26</v>
      </c>
      <c r="H846" s="4">
        <v>2729.75</v>
      </c>
      <c r="I846" s="4">
        <v>3081.5</v>
      </c>
      <c r="J846" t="s">
        <v>30</v>
      </c>
      <c r="K846" s="2">
        <v>0.01</v>
      </c>
      <c r="L846" t="s">
        <v>27</v>
      </c>
      <c r="M846" t="s">
        <v>19</v>
      </c>
      <c r="N846" t="s">
        <v>46</v>
      </c>
      <c r="O846" s="5">
        <f t="shared" si="13"/>
        <v>13366.5</v>
      </c>
    </row>
    <row r="847" spans="1:15" x14ac:dyDescent="0.35">
      <c r="A847">
        <v>1054</v>
      </c>
      <c r="B847" s="1">
        <v>45100</v>
      </c>
      <c r="C847" t="s">
        <v>24</v>
      </c>
      <c r="D847" t="s">
        <v>21</v>
      </c>
      <c r="E847" s="4">
        <v>4291.0200000000004</v>
      </c>
      <c r="F847">
        <v>27</v>
      </c>
      <c r="G847" t="s">
        <v>35</v>
      </c>
      <c r="H847" s="4">
        <v>1456.09</v>
      </c>
      <c r="I847" s="4">
        <v>1510.4299999999901</v>
      </c>
      <c r="J847" t="s">
        <v>17</v>
      </c>
      <c r="K847" s="2">
        <v>0.17</v>
      </c>
      <c r="L847" t="s">
        <v>18</v>
      </c>
      <c r="M847" t="s">
        <v>22</v>
      </c>
      <c r="N847" t="s">
        <v>47</v>
      </c>
      <c r="O847" s="5">
        <f t="shared" si="13"/>
        <v>1467.1799999997338</v>
      </c>
    </row>
    <row r="848" spans="1:15" x14ac:dyDescent="0.35">
      <c r="A848">
        <v>1003</v>
      </c>
      <c r="B848" s="1">
        <v>44976</v>
      </c>
      <c r="C848" t="s">
        <v>42</v>
      </c>
      <c r="D848" t="s">
        <v>34</v>
      </c>
      <c r="E848" s="4">
        <v>937.2</v>
      </c>
      <c r="F848">
        <v>45</v>
      </c>
      <c r="G848" t="s">
        <v>35</v>
      </c>
      <c r="H848" s="4">
        <v>4974.1400000000003</v>
      </c>
      <c r="I848" s="4">
        <v>5227.93</v>
      </c>
      <c r="J848" t="s">
        <v>30</v>
      </c>
      <c r="K848" s="2">
        <v>0.21</v>
      </c>
      <c r="L848" t="s">
        <v>27</v>
      </c>
      <c r="M848" t="s">
        <v>19</v>
      </c>
      <c r="N848" t="s">
        <v>52</v>
      </c>
      <c r="O848" s="5">
        <f t="shared" si="13"/>
        <v>11420.55</v>
      </c>
    </row>
    <row r="849" spans="1:15" x14ac:dyDescent="0.35">
      <c r="A849">
        <v>1050</v>
      </c>
      <c r="B849" s="1">
        <v>45125</v>
      </c>
      <c r="C849" t="s">
        <v>38</v>
      </c>
      <c r="D849" t="s">
        <v>25</v>
      </c>
      <c r="E849" s="4">
        <v>6107.78</v>
      </c>
      <c r="F849">
        <v>43</v>
      </c>
      <c r="G849" t="s">
        <v>16</v>
      </c>
      <c r="H849" s="4">
        <v>4834.47</v>
      </c>
      <c r="I849" s="4">
        <v>4973.38</v>
      </c>
      <c r="J849" t="s">
        <v>17</v>
      </c>
      <c r="K849" s="2">
        <v>0.03</v>
      </c>
      <c r="L849" t="s">
        <v>27</v>
      </c>
      <c r="M849" t="s">
        <v>19</v>
      </c>
      <c r="N849" t="s">
        <v>39</v>
      </c>
      <c r="O849" s="5">
        <f t="shared" si="13"/>
        <v>5973.1299999999937</v>
      </c>
    </row>
    <row r="850" spans="1:15" x14ac:dyDescent="0.35">
      <c r="A850">
        <v>1012</v>
      </c>
      <c r="B850" s="1">
        <v>45275</v>
      </c>
      <c r="C850" t="s">
        <v>14</v>
      </c>
      <c r="D850" t="s">
        <v>21</v>
      </c>
      <c r="E850" s="4">
        <v>8821.6299999999992</v>
      </c>
      <c r="F850">
        <v>13</v>
      </c>
      <c r="G850" t="s">
        <v>35</v>
      </c>
      <c r="H850" s="4">
        <v>2231.66</v>
      </c>
      <c r="I850" s="4">
        <v>2596.6099999999901</v>
      </c>
      <c r="J850" t="s">
        <v>17</v>
      </c>
      <c r="K850" s="2">
        <v>0.09</v>
      </c>
      <c r="L850" t="s">
        <v>27</v>
      </c>
      <c r="M850" t="s">
        <v>22</v>
      </c>
      <c r="N850" t="s">
        <v>23</v>
      </c>
      <c r="O850" s="5">
        <f t="shared" si="13"/>
        <v>4744.349999999873</v>
      </c>
    </row>
    <row r="851" spans="1:15" x14ac:dyDescent="0.35">
      <c r="A851">
        <v>1065</v>
      </c>
      <c r="B851" s="1">
        <v>45107</v>
      </c>
      <c r="C851" t="s">
        <v>38</v>
      </c>
      <c r="D851" t="s">
        <v>25</v>
      </c>
      <c r="E851" s="4">
        <v>8840.86</v>
      </c>
      <c r="F851">
        <v>13</v>
      </c>
      <c r="G851" t="s">
        <v>16</v>
      </c>
      <c r="H851" s="4">
        <v>1339</v>
      </c>
      <c r="I851" s="4">
        <v>1441.88</v>
      </c>
      <c r="J851" t="s">
        <v>17</v>
      </c>
      <c r="K851" s="2">
        <v>0.23</v>
      </c>
      <c r="L851" t="s">
        <v>31</v>
      </c>
      <c r="M851" t="s">
        <v>22</v>
      </c>
      <c r="N851" t="s">
        <v>39</v>
      </c>
      <c r="O851" s="5">
        <f t="shared" si="13"/>
        <v>1337.4400000000014</v>
      </c>
    </row>
    <row r="852" spans="1:15" x14ac:dyDescent="0.35">
      <c r="A852">
        <v>1054</v>
      </c>
      <c r="B852" s="1">
        <v>44950</v>
      </c>
      <c r="C852" t="s">
        <v>14</v>
      </c>
      <c r="D852" t="s">
        <v>34</v>
      </c>
      <c r="E852" s="4">
        <v>6624.55</v>
      </c>
      <c r="F852">
        <v>22</v>
      </c>
      <c r="G852" t="s">
        <v>35</v>
      </c>
      <c r="H852" s="4">
        <v>4200.08</v>
      </c>
      <c r="I852" s="4">
        <v>4647.28</v>
      </c>
      <c r="J852" t="s">
        <v>17</v>
      </c>
      <c r="K852" s="2">
        <v>0.11</v>
      </c>
      <c r="L852" t="s">
        <v>18</v>
      </c>
      <c r="M852" t="s">
        <v>19</v>
      </c>
      <c r="N852" t="s">
        <v>46</v>
      </c>
      <c r="O852" s="5">
        <f t="shared" si="13"/>
        <v>9838.399999999996</v>
      </c>
    </row>
    <row r="853" spans="1:15" x14ac:dyDescent="0.35">
      <c r="A853">
        <v>1005</v>
      </c>
      <c r="B853" s="1">
        <v>45242</v>
      </c>
      <c r="C853" t="s">
        <v>38</v>
      </c>
      <c r="D853" t="s">
        <v>34</v>
      </c>
      <c r="E853" s="4">
        <v>2191.1999999999998</v>
      </c>
      <c r="F853">
        <v>28</v>
      </c>
      <c r="G853" t="s">
        <v>29</v>
      </c>
      <c r="H853" s="4">
        <v>3592.32</v>
      </c>
      <c r="I853" s="4">
        <v>3813.48</v>
      </c>
      <c r="J853" t="s">
        <v>30</v>
      </c>
      <c r="K853" s="2">
        <v>7.0000000000000007E-2</v>
      </c>
      <c r="L853" t="s">
        <v>31</v>
      </c>
      <c r="M853" t="s">
        <v>22</v>
      </c>
      <c r="N853" t="s">
        <v>48</v>
      </c>
      <c r="O853" s="5">
        <f t="shared" si="13"/>
        <v>6192.4799999999959</v>
      </c>
    </row>
    <row r="854" spans="1:15" x14ac:dyDescent="0.35">
      <c r="A854">
        <v>1094</v>
      </c>
      <c r="B854" s="1">
        <v>44972</v>
      </c>
      <c r="C854" t="s">
        <v>33</v>
      </c>
      <c r="D854" t="s">
        <v>25</v>
      </c>
      <c r="E854" s="4">
        <v>8643.67</v>
      </c>
      <c r="F854">
        <v>47</v>
      </c>
      <c r="G854" t="s">
        <v>26</v>
      </c>
      <c r="H854" s="4">
        <v>3450.36</v>
      </c>
      <c r="I854" s="4">
        <v>3557.38</v>
      </c>
      <c r="J854" t="s">
        <v>30</v>
      </c>
      <c r="K854" s="2">
        <v>0.2</v>
      </c>
      <c r="L854" t="s">
        <v>31</v>
      </c>
      <c r="M854" t="s">
        <v>19</v>
      </c>
      <c r="N854" t="s">
        <v>44</v>
      </c>
      <c r="O854" s="5">
        <f t="shared" si="13"/>
        <v>5029.9399999999987</v>
      </c>
    </row>
    <row r="855" spans="1:15" x14ac:dyDescent="0.35">
      <c r="A855">
        <v>1094</v>
      </c>
      <c r="B855" s="1">
        <v>44941</v>
      </c>
      <c r="C855" t="s">
        <v>14</v>
      </c>
      <c r="D855" t="s">
        <v>15</v>
      </c>
      <c r="E855" s="4">
        <v>8872.33</v>
      </c>
      <c r="F855">
        <v>45</v>
      </c>
      <c r="G855" t="s">
        <v>16</v>
      </c>
      <c r="H855" s="4">
        <v>4470.91</v>
      </c>
      <c r="I855" s="4">
        <v>4695.54</v>
      </c>
      <c r="J855" t="s">
        <v>17</v>
      </c>
      <c r="K855" s="2">
        <v>0.06</v>
      </c>
      <c r="L855" t="s">
        <v>18</v>
      </c>
      <c r="M855" t="s">
        <v>22</v>
      </c>
      <c r="N855" t="s">
        <v>20</v>
      </c>
      <c r="O855" s="5">
        <f t="shared" si="13"/>
        <v>10108.350000000006</v>
      </c>
    </row>
    <row r="856" spans="1:15" x14ac:dyDescent="0.35">
      <c r="A856">
        <v>1057</v>
      </c>
      <c r="B856" s="1">
        <v>45079</v>
      </c>
      <c r="C856" t="s">
        <v>38</v>
      </c>
      <c r="D856" t="s">
        <v>34</v>
      </c>
      <c r="E856" s="4">
        <v>2046.87</v>
      </c>
      <c r="F856">
        <v>22</v>
      </c>
      <c r="G856" t="s">
        <v>26</v>
      </c>
      <c r="H856" s="4">
        <v>3462.61</v>
      </c>
      <c r="I856" s="4">
        <v>3672.89</v>
      </c>
      <c r="J856" t="s">
        <v>17</v>
      </c>
      <c r="K856" s="2">
        <v>0.27</v>
      </c>
      <c r="L856" t="s">
        <v>31</v>
      </c>
      <c r="M856" t="s">
        <v>19</v>
      </c>
      <c r="N856" t="s">
        <v>48</v>
      </c>
      <c r="O856" s="5">
        <f t="shared" si="13"/>
        <v>4626.1599999999944</v>
      </c>
    </row>
    <row r="857" spans="1:15" x14ac:dyDescent="0.35">
      <c r="A857">
        <v>1017</v>
      </c>
      <c r="B857" s="1">
        <v>45148</v>
      </c>
      <c r="C857" t="s">
        <v>42</v>
      </c>
      <c r="D857" t="s">
        <v>15</v>
      </c>
      <c r="E857" s="4">
        <v>7400.52</v>
      </c>
      <c r="F857">
        <v>43</v>
      </c>
      <c r="G857" t="s">
        <v>16</v>
      </c>
      <c r="H857" s="4">
        <v>1454.8</v>
      </c>
      <c r="I857" s="4">
        <v>1674.97</v>
      </c>
      <c r="J857" t="s">
        <v>30</v>
      </c>
      <c r="K857" s="2">
        <v>0.03</v>
      </c>
      <c r="L857" t="s">
        <v>31</v>
      </c>
      <c r="M857" t="s">
        <v>19</v>
      </c>
      <c r="N857" t="s">
        <v>49</v>
      </c>
      <c r="O857" s="5">
        <f t="shared" si="13"/>
        <v>9467.3100000000031</v>
      </c>
    </row>
    <row r="858" spans="1:15" x14ac:dyDescent="0.35">
      <c r="A858">
        <v>1047</v>
      </c>
      <c r="B858" s="1">
        <v>45132</v>
      </c>
      <c r="C858" t="s">
        <v>33</v>
      </c>
      <c r="D858" t="s">
        <v>34</v>
      </c>
      <c r="E858" s="4">
        <v>2936.54</v>
      </c>
      <c r="F858">
        <v>19</v>
      </c>
      <c r="G858" t="s">
        <v>16</v>
      </c>
      <c r="H858" s="4">
        <v>3484.62</v>
      </c>
      <c r="I858" s="4">
        <v>3781.5499999999902</v>
      </c>
      <c r="J858" t="s">
        <v>17</v>
      </c>
      <c r="K858" s="2">
        <v>0.21</v>
      </c>
      <c r="L858" t="s">
        <v>31</v>
      </c>
      <c r="M858" t="s">
        <v>22</v>
      </c>
      <c r="N858" t="s">
        <v>36</v>
      </c>
      <c r="O858" s="5">
        <f t="shared" si="13"/>
        <v>5641.6699999998154</v>
      </c>
    </row>
    <row r="859" spans="1:15" x14ac:dyDescent="0.35">
      <c r="A859">
        <v>1023</v>
      </c>
      <c r="B859" s="1">
        <v>45199</v>
      </c>
      <c r="C859" t="s">
        <v>33</v>
      </c>
      <c r="D859" t="s">
        <v>15</v>
      </c>
      <c r="E859" s="4">
        <v>8046.14</v>
      </c>
      <c r="F859">
        <v>8</v>
      </c>
      <c r="G859" t="s">
        <v>16</v>
      </c>
      <c r="H859" s="4">
        <v>1563.78</v>
      </c>
      <c r="I859" s="4">
        <v>1829.1599999999901</v>
      </c>
      <c r="J859" t="s">
        <v>17</v>
      </c>
      <c r="K859" s="2">
        <v>0.15</v>
      </c>
      <c r="L859" t="s">
        <v>18</v>
      </c>
      <c r="M859" t="s">
        <v>19</v>
      </c>
      <c r="N859" t="s">
        <v>53</v>
      </c>
      <c r="O859" s="5">
        <f t="shared" si="13"/>
        <v>2123.0399999999208</v>
      </c>
    </row>
    <row r="860" spans="1:15" x14ac:dyDescent="0.35">
      <c r="A860">
        <v>1079</v>
      </c>
      <c r="B860" s="1">
        <v>45162</v>
      </c>
      <c r="C860" t="s">
        <v>42</v>
      </c>
      <c r="D860" t="s">
        <v>15</v>
      </c>
      <c r="E860" s="4">
        <v>9972.66</v>
      </c>
      <c r="F860">
        <v>8</v>
      </c>
      <c r="G860" t="s">
        <v>29</v>
      </c>
      <c r="H860" s="4">
        <v>3808.23</v>
      </c>
      <c r="I860" s="4">
        <v>3891.62</v>
      </c>
      <c r="J860" t="s">
        <v>17</v>
      </c>
      <c r="K860" s="2">
        <v>0.26</v>
      </c>
      <c r="L860" t="s">
        <v>27</v>
      </c>
      <c r="M860" t="s">
        <v>19</v>
      </c>
      <c r="N860" t="s">
        <v>49</v>
      </c>
      <c r="O860" s="5">
        <f t="shared" si="13"/>
        <v>667.11999999999898</v>
      </c>
    </row>
    <row r="861" spans="1:15" x14ac:dyDescent="0.35">
      <c r="A861">
        <v>1085</v>
      </c>
      <c r="B861" s="1">
        <v>45266</v>
      </c>
      <c r="C861" t="s">
        <v>38</v>
      </c>
      <c r="D861" t="s">
        <v>15</v>
      </c>
      <c r="E861" s="4">
        <v>397.26</v>
      </c>
      <c r="F861">
        <v>42</v>
      </c>
      <c r="G861" t="s">
        <v>35</v>
      </c>
      <c r="H861" s="4">
        <v>3117.75</v>
      </c>
      <c r="I861" s="4">
        <v>3159.88</v>
      </c>
      <c r="J861" t="s">
        <v>30</v>
      </c>
      <c r="K861" s="2">
        <v>0.04</v>
      </c>
      <c r="L861" t="s">
        <v>18</v>
      </c>
      <c r="M861" t="s">
        <v>22</v>
      </c>
      <c r="N861" t="s">
        <v>40</v>
      </c>
      <c r="O861" s="5">
        <f t="shared" si="13"/>
        <v>1769.4600000000046</v>
      </c>
    </row>
    <row r="862" spans="1:15" x14ac:dyDescent="0.35">
      <c r="A862">
        <v>1014</v>
      </c>
      <c r="B862" s="1">
        <v>45154</v>
      </c>
      <c r="C862" t="s">
        <v>24</v>
      </c>
      <c r="D862" t="s">
        <v>25</v>
      </c>
      <c r="E862" s="4">
        <v>8983.92</v>
      </c>
      <c r="F862">
        <v>26</v>
      </c>
      <c r="G862" t="s">
        <v>16</v>
      </c>
      <c r="H862" s="4">
        <v>433.19</v>
      </c>
      <c r="I862" s="4">
        <v>800.6</v>
      </c>
      <c r="J862" t="s">
        <v>17</v>
      </c>
      <c r="K862" s="2">
        <v>0.2</v>
      </c>
      <c r="L862" t="s">
        <v>18</v>
      </c>
      <c r="M862" t="s">
        <v>19</v>
      </c>
      <c r="N862" t="s">
        <v>28</v>
      </c>
      <c r="O862" s="5">
        <f t="shared" si="13"/>
        <v>9552.66</v>
      </c>
    </row>
    <row r="863" spans="1:15" x14ac:dyDescent="0.35">
      <c r="A863">
        <v>1066</v>
      </c>
      <c r="B863" s="1">
        <v>44935</v>
      </c>
      <c r="C863" t="s">
        <v>42</v>
      </c>
      <c r="D863" t="s">
        <v>15</v>
      </c>
      <c r="E863" s="4">
        <v>6264.04</v>
      </c>
      <c r="F863">
        <v>48</v>
      </c>
      <c r="G863" t="s">
        <v>29</v>
      </c>
      <c r="H863" s="4">
        <v>2588.54</v>
      </c>
      <c r="I863" s="4">
        <v>2872.8</v>
      </c>
      <c r="J863" t="s">
        <v>30</v>
      </c>
      <c r="K863" s="2">
        <v>0.17</v>
      </c>
      <c r="L863" t="s">
        <v>18</v>
      </c>
      <c r="M863" t="s">
        <v>19</v>
      </c>
      <c r="N863" t="s">
        <v>49</v>
      </c>
      <c r="O863" s="5">
        <f t="shared" si="13"/>
        <v>13644.48000000001</v>
      </c>
    </row>
    <row r="864" spans="1:15" x14ac:dyDescent="0.35">
      <c r="A864">
        <v>1075</v>
      </c>
      <c r="B864" s="1">
        <v>45092</v>
      </c>
      <c r="C864" t="s">
        <v>38</v>
      </c>
      <c r="D864" t="s">
        <v>15</v>
      </c>
      <c r="E864" s="4">
        <v>9736.49</v>
      </c>
      <c r="F864">
        <v>26</v>
      </c>
      <c r="G864" t="s">
        <v>16</v>
      </c>
      <c r="H864" s="4">
        <v>1749.34</v>
      </c>
      <c r="I864" s="4">
        <v>1935.25</v>
      </c>
      <c r="J864" t="s">
        <v>30</v>
      </c>
      <c r="K864" s="2">
        <v>0.14000000000000001</v>
      </c>
      <c r="L864" t="s">
        <v>31</v>
      </c>
      <c r="M864" t="s">
        <v>19</v>
      </c>
      <c r="N864" t="s">
        <v>40</v>
      </c>
      <c r="O864" s="5">
        <f t="shared" si="13"/>
        <v>4833.6600000000017</v>
      </c>
    </row>
    <row r="865" spans="1:15" x14ac:dyDescent="0.35">
      <c r="A865">
        <v>1051</v>
      </c>
      <c r="B865" s="1">
        <v>45245</v>
      </c>
      <c r="C865" t="s">
        <v>42</v>
      </c>
      <c r="D865" t="s">
        <v>15</v>
      </c>
      <c r="E865" s="4">
        <v>4703.59</v>
      </c>
      <c r="F865">
        <v>23</v>
      </c>
      <c r="G865" t="s">
        <v>35</v>
      </c>
      <c r="H865" s="4">
        <v>1676.42</v>
      </c>
      <c r="I865" s="4">
        <v>2082.52</v>
      </c>
      <c r="J865" t="s">
        <v>30</v>
      </c>
      <c r="K865" s="2">
        <v>0.15</v>
      </c>
      <c r="L865" t="s">
        <v>27</v>
      </c>
      <c r="M865" t="s">
        <v>22</v>
      </c>
      <c r="N865" t="s">
        <v>49</v>
      </c>
      <c r="O865" s="5">
        <f t="shared" si="13"/>
        <v>9340.2999999999975</v>
      </c>
    </row>
    <row r="866" spans="1:15" x14ac:dyDescent="0.35">
      <c r="A866">
        <v>1038</v>
      </c>
      <c r="B866" s="1">
        <v>45140</v>
      </c>
      <c r="C866" t="s">
        <v>42</v>
      </c>
      <c r="D866" t="s">
        <v>34</v>
      </c>
      <c r="E866" s="4">
        <v>8489.14</v>
      </c>
      <c r="F866">
        <v>43</v>
      </c>
      <c r="G866" t="s">
        <v>16</v>
      </c>
      <c r="H866" s="4">
        <v>3031.17</v>
      </c>
      <c r="I866" s="4">
        <v>3231.32</v>
      </c>
      <c r="J866" t="s">
        <v>17</v>
      </c>
      <c r="K866" s="2">
        <v>0.22</v>
      </c>
      <c r="L866" t="s">
        <v>18</v>
      </c>
      <c r="M866" t="s">
        <v>22</v>
      </c>
      <c r="N866" t="s">
        <v>52</v>
      </c>
      <c r="O866" s="5">
        <f t="shared" si="13"/>
        <v>8606.4500000000044</v>
      </c>
    </row>
    <row r="867" spans="1:15" x14ac:dyDescent="0.35">
      <c r="A867">
        <v>1064</v>
      </c>
      <c r="B867" s="1">
        <v>45043</v>
      </c>
      <c r="C867" t="s">
        <v>14</v>
      </c>
      <c r="D867" t="s">
        <v>15</v>
      </c>
      <c r="E867" s="4">
        <v>717.7</v>
      </c>
      <c r="F867">
        <v>13</v>
      </c>
      <c r="G867" t="s">
        <v>29</v>
      </c>
      <c r="H867" s="4">
        <v>1645.51</v>
      </c>
      <c r="I867" s="4">
        <v>2045.53</v>
      </c>
      <c r="J867" t="s">
        <v>17</v>
      </c>
      <c r="K867" s="2">
        <v>0.28000000000000003</v>
      </c>
      <c r="L867" t="s">
        <v>18</v>
      </c>
      <c r="M867" t="s">
        <v>22</v>
      </c>
      <c r="N867" t="s">
        <v>20</v>
      </c>
      <c r="O867" s="5">
        <f t="shared" si="13"/>
        <v>5200.26</v>
      </c>
    </row>
    <row r="868" spans="1:15" x14ac:dyDescent="0.35">
      <c r="A868">
        <v>1098</v>
      </c>
      <c r="B868" s="1">
        <v>45270</v>
      </c>
      <c r="C868" t="s">
        <v>38</v>
      </c>
      <c r="D868" t="s">
        <v>34</v>
      </c>
      <c r="E868" s="4">
        <v>3419.26</v>
      </c>
      <c r="F868">
        <v>28</v>
      </c>
      <c r="G868" t="s">
        <v>35</v>
      </c>
      <c r="H868" s="4">
        <v>3895.62</v>
      </c>
      <c r="I868" s="4">
        <v>4055.44</v>
      </c>
      <c r="J868" t="s">
        <v>30</v>
      </c>
      <c r="K868" s="2">
        <v>0.03</v>
      </c>
      <c r="L868" t="s">
        <v>27</v>
      </c>
      <c r="M868" t="s">
        <v>22</v>
      </c>
      <c r="N868" t="s">
        <v>48</v>
      </c>
      <c r="O868" s="5">
        <f t="shared" si="13"/>
        <v>4474.9600000000046</v>
      </c>
    </row>
    <row r="869" spans="1:15" x14ac:dyDescent="0.35">
      <c r="A869">
        <v>1038</v>
      </c>
      <c r="B869" s="1">
        <v>44998</v>
      </c>
      <c r="C869" t="s">
        <v>24</v>
      </c>
      <c r="D869" t="s">
        <v>15</v>
      </c>
      <c r="E869" s="4">
        <v>763.46</v>
      </c>
      <c r="F869">
        <v>9</v>
      </c>
      <c r="G869" t="s">
        <v>29</v>
      </c>
      <c r="H869" s="4">
        <v>400.42</v>
      </c>
      <c r="I869" s="4">
        <v>446.11</v>
      </c>
      <c r="J869" t="s">
        <v>30</v>
      </c>
      <c r="K869" s="2">
        <v>0.01</v>
      </c>
      <c r="L869" t="s">
        <v>27</v>
      </c>
      <c r="M869" t="s">
        <v>22</v>
      </c>
      <c r="N869" t="s">
        <v>45</v>
      </c>
      <c r="O869" s="5">
        <f t="shared" si="13"/>
        <v>411.21</v>
      </c>
    </row>
    <row r="870" spans="1:15" x14ac:dyDescent="0.35">
      <c r="A870">
        <v>1050</v>
      </c>
      <c r="B870" s="1">
        <v>44990</v>
      </c>
      <c r="C870" t="s">
        <v>14</v>
      </c>
      <c r="D870" t="s">
        <v>15</v>
      </c>
      <c r="E870" s="4">
        <v>9755.9</v>
      </c>
      <c r="F870">
        <v>20</v>
      </c>
      <c r="G870" t="s">
        <v>35</v>
      </c>
      <c r="H870" s="4">
        <v>3318.92</v>
      </c>
      <c r="I870" s="4">
        <v>3785.91</v>
      </c>
      <c r="J870" t="s">
        <v>30</v>
      </c>
      <c r="K870" s="2">
        <v>0.24</v>
      </c>
      <c r="L870" t="s">
        <v>27</v>
      </c>
      <c r="M870" t="s">
        <v>19</v>
      </c>
      <c r="N870" t="s">
        <v>20</v>
      </c>
      <c r="O870" s="5">
        <f t="shared" si="13"/>
        <v>9339.7999999999956</v>
      </c>
    </row>
    <row r="871" spans="1:15" x14ac:dyDescent="0.35">
      <c r="A871">
        <v>1098</v>
      </c>
      <c r="B871" s="1">
        <v>45131</v>
      </c>
      <c r="C871" t="s">
        <v>42</v>
      </c>
      <c r="D871" t="s">
        <v>25</v>
      </c>
      <c r="E871" s="4">
        <v>8188.04</v>
      </c>
      <c r="F871">
        <v>19</v>
      </c>
      <c r="G871" t="s">
        <v>35</v>
      </c>
      <c r="H871" s="4">
        <v>4055.51</v>
      </c>
      <c r="I871" s="4">
        <v>4258.84</v>
      </c>
      <c r="J871" t="s">
        <v>17</v>
      </c>
      <c r="K871" s="2">
        <v>0.03</v>
      </c>
      <c r="L871" t="s">
        <v>31</v>
      </c>
      <c r="M871" t="s">
        <v>19</v>
      </c>
      <c r="N871" t="s">
        <v>43</v>
      </c>
      <c r="O871" s="5">
        <f t="shared" si="13"/>
        <v>3863.2699999999986</v>
      </c>
    </row>
    <row r="872" spans="1:15" x14ac:dyDescent="0.35">
      <c r="A872">
        <v>1082</v>
      </c>
      <c r="B872" s="1">
        <v>45135</v>
      </c>
      <c r="C872" t="s">
        <v>42</v>
      </c>
      <c r="D872" t="s">
        <v>34</v>
      </c>
      <c r="E872" s="4">
        <v>8540.2199999999993</v>
      </c>
      <c r="F872">
        <v>48</v>
      </c>
      <c r="G872" t="s">
        <v>26</v>
      </c>
      <c r="H872" s="4">
        <v>3380.52</v>
      </c>
      <c r="I872" s="4">
        <v>3778.94</v>
      </c>
      <c r="J872" t="s">
        <v>17</v>
      </c>
      <c r="K872" s="2">
        <v>0.3</v>
      </c>
      <c r="L872" t="s">
        <v>27</v>
      </c>
      <c r="M872" t="s">
        <v>19</v>
      </c>
      <c r="N872" t="s">
        <v>52</v>
      </c>
      <c r="O872" s="5">
        <f t="shared" si="13"/>
        <v>19124.160000000003</v>
      </c>
    </row>
    <row r="873" spans="1:15" x14ac:dyDescent="0.35">
      <c r="A873">
        <v>1030</v>
      </c>
      <c r="B873" s="1">
        <v>44998</v>
      </c>
      <c r="C873" t="s">
        <v>42</v>
      </c>
      <c r="D873" t="s">
        <v>15</v>
      </c>
      <c r="E873" s="4">
        <v>9385.86</v>
      </c>
      <c r="F873">
        <v>39</v>
      </c>
      <c r="G873" t="s">
        <v>26</v>
      </c>
      <c r="H873" s="4">
        <v>2511.2800000000002</v>
      </c>
      <c r="I873" s="4">
        <v>2658.06</v>
      </c>
      <c r="J873" t="s">
        <v>30</v>
      </c>
      <c r="K873" s="2">
        <v>0.19</v>
      </c>
      <c r="L873" t="s">
        <v>31</v>
      </c>
      <c r="M873" t="s">
        <v>22</v>
      </c>
      <c r="N873" t="s">
        <v>49</v>
      </c>
      <c r="O873" s="5">
        <f t="shared" si="13"/>
        <v>5724.4199999999901</v>
      </c>
    </row>
    <row r="874" spans="1:15" x14ac:dyDescent="0.35">
      <c r="A874">
        <v>1079</v>
      </c>
      <c r="B874" s="1">
        <v>45203</v>
      </c>
      <c r="C874" t="s">
        <v>38</v>
      </c>
      <c r="D874" t="s">
        <v>34</v>
      </c>
      <c r="E874" s="4">
        <v>942.52</v>
      </c>
      <c r="F874">
        <v>12</v>
      </c>
      <c r="G874" t="s">
        <v>26</v>
      </c>
      <c r="H874" s="4">
        <v>4754.0200000000004</v>
      </c>
      <c r="I874" s="4">
        <v>5080.74</v>
      </c>
      <c r="J874" t="s">
        <v>30</v>
      </c>
      <c r="K874" s="2">
        <v>0.2</v>
      </c>
      <c r="L874" t="s">
        <v>18</v>
      </c>
      <c r="M874" t="s">
        <v>19</v>
      </c>
      <c r="N874" t="s">
        <v>48</v>
      </c>
      <c r="O874" s="5">
        <f t="shared" si="13"/>
        <v>3920.6399999999921</v>
      </c>
    </row>
    <row r="875" spans="1:15" x14ac:dyDescent="0.35">
      <c r="A875">
        <v>1091</v>
      </c>
      <c r="B875" s="1">
        <v>45200</v>
      </c>
      <c r="C875" t="s">
        <v>38</v>
      </c>
      <c r="D875" t="s">
        <v>34</v>
      </c>
      <c r="E875" s="4">
        <v>3917.42</v>
      </c>
      <c r="F875">
        <v>15</v>
      </c>
      <c r="G875" t="s">
        <v>35</v>
      </c>
      <c r="H875" s="4">
        <v>1534.7</v>
      </c>
      <c r="I875" s="4">
        <v>1972.62</v>
      </c>
      <c r="J875" t="s">
        <v>17</v>
      </c>
      <c r="K875" s="2">
        <v>0.06</v>
      </c>
      <c r="L875" t="s">
        <v>31</v>
      </c>
      <c r="M875" t="s">
        <v>22</v>
      </c>
      <c r="N875" t="s">
        <v>48</v>
      </c>
      <c r="O875" s="5">
        <f t="shared" si="13"/>
        <v>6568.7999999999975</v>
      </c>
    </row>
    <row r="876" spans="1:15" x14ac:dyDescent="0.35">
      <c r="A876">
        <v>1051</v>
      </c>
      <c r="B876" s="1">
        <v>45246</v>
      </c>
      <c r="C876" t="s">
        <v>14</v>
      </c>
      <c r="D876" t="s">
        <v>21</v>
      </c>
      <c r="E876" s="4">
        <v>803.25</v>
      </c>
      <c r="F876">
        <v>31</v>
      </c>
      <c r="G876" t="s">
        <v>16</v>
      </c>
      <c r="H876" s="4">
        <v>144.88</v>
      </c>
      <c r="I876" s="4">
        <v>175.29</v>
      </c>
      <c r="J876" t="s">
        <v>30</v>
      </c>
      <c r="K876" s="2">
        <v>7.0000000000000007E-2</v>
      </c>
      <c r="L876" t="s">
        <v>27</v>
      </c>
      <c r="M876" t="s">
        <v>19</v>
      </c>
      <c r="N876" t="s">
        <v>23</v>
      </c>
      <c r="O876" s="5">
        <f t="shared" si="13"/>
        <v>942.70999999999992</v>
      </c>
    </row>
    <row r="877" spans="1:15" x14ac:dyDescent="0.35">
      <c r="A877">
        <v>1063</v>
      </c>
      <c r="B877" s="1">
        <v>45264</v>
      </c>
      <c r="C877" t="s">
        <v>24</v>
      </c>
      <c r="D877" t="s">
        <v>25</v>
      </c>
      <c r="E877" s="4">
        <v>2186.85</v>
      </c>
      <c r="F877">
        <v>14</v>
      </c>
      <c r="G877" t="s">
        <v>29</v>
      </c>
      <c r="H877" s="4">
        <v>2188.35</v>
      </c>
      <c r="I877" s="4">
        <v>2605.3599999999901</v>
      </c>
      <c r="J877" t="s">
        <v>17</v>
      </c>
      <c r="K877" s="2">
        <v>0.2</v>
      </c>
      <c r="L877" t="s">
        <v>31</v>
      </c>
      <c r="M877" t="s">
        <v>22</v>
      </c>
      <c r="N877" t="s">
        <v>28</v>
      </c>
      <c r="O877" s="5">
        <f t="shared" si="13"/>
        <v>5838.139999999863</v>
      </c>
    </row>
    <row r="878" spans="1:15" x14ac:dyDescent="0.35">
      <c r="A878">
        <v>1098</v>
      </c>
      <c r="B878" s="1">
        <v>45292</v>
      </c>
      <c r="C878" t="s">
        <v>14</v>
      </c>
      <c r="D878" t="s">
        <v>25</v>
      </c>
      <c r="E878" s="4">
        <v>2370.7199999999998</v>
      </c>
      <c r="F878">
        <v>11</v>
      </c>
      <c r="G878" t="s">
        <v>29</v>
      </c>
      <c r="H878" s="4">
        <v>213.41</v>
      </c>
      <c r="I878" s="4">
        <v>503.36</v>
      </c>
      <c r="J878" t="s">
        <v>17</v>
      </c>
      <c r="K878" s="2">
        <v>0.27</v>
      </c>
      <c r="L878" t="s">
        <v>27</v>
      </c>
      <c r="M878" t="s">
        <v>19</v>
      </c>
      <c r="N878" t="s">
        <v>32</v>
      </c>
      <c r="O878" s="5">
        <f t="shared" si="13"/>
        <v>3189.4500000000007</v>
      </c>
    </row>
    <row r="879" spans="1:15" x14ac:dyDescent="0.35">
      <c r="A879">
        <v>1052</v>
      </c>
      <c r="B879" s="1">
        <v>45021</v>
      </c>
      <c r="C879" t="s">
        <v>33</v>
      </c>
      <c r="D879" t="s">
        <v>25</v>
      </c>
      <c r="E879" s="4">
        <v>4744.16</v>
      </c>
      <c r="F879">
        <v>26</v>
      </c>
      <c r="G879" t="s">
        <v>29</v>
      </c>
      <c r="H879" s="4">
        <v>4771.99</v>
      </c>
      <c r="I879" s="4">
        <v>5079.6499999999996</v>
      </c>
      <c r="J879" t="s">
        <v>30</v>
      </c>
      <c r="K879" s="2">
        <v>0.28999999999999998</v>
      </c>
      <c r="L879" t="s">
        <v>31</v>
      </c>
      <c r="M879" t="s">
        <v>19</v>
      </c>
      <c r="N879" t="s">
        <v>44</v>
      </c>
      <c r="O879" s="5">
        <f t="shared" si="13"/>
        <v>7999.1599999999962</v>
      </c>
    </row>
    <row r="880" spans="1:15" x14ac:dyDescent="0.35">
      <c r="A880">
        <v>1038</v>
      </c>
      <c r="B880" s="1">
        <v>45092</v>
      </c>
      <c r="C880" t="s">
        <v>42</v>
      </c>
      <c r="D880" t="s">
        <v>21</v>
      </c>
      <c r="E880" s="4">
        <v>2758.77</v>
      </c>
      <c r="F880">
        <v>42</v>
      </c>
      <c r="G880" t="s">
        <v>26</v>
      </c>
      <c r="H880" s="4">
        <v>1089.0899999999999</v>
      </c>
      <c r="I880" s="4">
        <v>1355.44</v>
      </c>
      <c r="J880" t="s">
        <v>30</v>
      </c>
      <c r="K880" s="2">
        <v>0.06</v>
      </c>
      <c r="L880" t="s">
        <v>18</v>
      </c>
      <c r="M880" t="s">
        <v>22</v>
      </c>
      <c r="N880" t="s">
        <v>51</v>
      </c>
      <c r="O880" s="5">
        <f t="shared" si="13"/>
        <v>11186.700000000006</v>
      </c>
    </row>
    <row r="881" spans="1:15" x14ac:dyDescent="0.35">
      <c r="A881">
        <v>1097</v>
      </c>
      <c r="B881" s="1">
        <v>44958</v>
      </c>
      <c r="C881" t="s">
        <v>42</v>
      </c>
      <c r="D881" t="s">
        <v>21</v>
      </c>
      <c r="E881" s="4">
        <v>1099.68</v>
      </c>
      <c r="F881">
        <v>27</v>
      </c>
      <c r="G881" t="s">
        <v>35</v>
      </c>
      <c r="H881" s="4">
        <v>3955.19</v>
      </c>
      <c r="I881" s="4">
        <v>4393.68</v>
      </c>
      <c r="J881" t="s">
        <v>17</v>
      </c>
      <c r="K881" s="2">
        <v>0.04</v>
      </c>
      <c r="L881" t="s">
        <v>31</v>
      </c>
      <c r="M881" t="s">
        <v>19</v>
      </c>
      <c r="N881" t="s">
        <v>51</v>
      </c>
      <c r="O881" s="5">
        <f t="shared" si="13"/>
        <v>11839.230000000007</v>
      </c>
    </row>
    <row r="882" spans="1:15" x14ac:dyDescent="0.35">
      <c r="A882">
        <v>1088</v>
      </c>
      <c r="B882" s="1">
        <v>44937</v>
      </c>
      <c r="C882" t="s">
        <v>42</v>
      </c>
      <c r="D882" t="s">
        <v>25</v>
      </c>
      <c r="E882" s="4">
        <v>1758.16</v>
      </c>
      <c r="F882">
        <v>11</v>
      </c>
      <c r="G882" t="s">
        <v>26</v>
      </c>
      <c r="H882" s="4">
        <v>3884.13</v>
      </c>
      <c r="I882" s="4">
        <v>3915.41</v>
      </c>
      <c r="J882" t="s">
        <v>17</v>
      </c>
      <c r="K882" s="2">
        <v>0.02</v>
      </c>
      <c r="L882" t="s">
        <v>18</v>
      </c>
      <c r="M882" t="s">
        <v>19</v>
      </c>
      <c r="N882" t="s">
        <v>43</v>
      </c>
      <c r="O882" s="5">
        <f t="shared" si="13"/>
        <v>344.0799999999972</v>
      </c>
    </row>
    <row r="883" spans="1:15" x14ac:dyDescent="0.35">
      <c r="A883">
        <v>1079</v>
      </c>
      <c r="B883" s="1">
        <v>45227</v>
      </c>
      <c r="C883" t="s">
        <v>14</v>
      </c>
      <c r="D883" t="s">
        <v>21</v>
      </c>
      <c r="E883" s="4">
        <v>1558.03</v>
      </c>
      <c r="F883">
        <v>38</v>
      </c>
      <c r="G883" t="s">
        <v>16</v>
      </c>
      <c r="H883" s="4">
        <v>1127.76</v>
      </c>
      <c r="I883" s="4">
        <v>1265.6600000000001</v>
      </c>
      <c r="J883" t="s">
        <v>17</v>
      </c>
      <c r="K883" s="2">
        <v>0.26</v>
      </c>
      <c r="L883" t="s">
        <v>27</v>
      </c>
      <c r="M883" t="s">
        <v>22</v>
      </c>
      <c r="N883" t="s">
        <v>23</v>
      </c>
      <c r="O883" s="5">
        <f t="shared" si="13"/>
        <v>5240.2000000000035</v>
      </c>
    </row>
    <row r="884" spans="1:15" x14ac:dyDescent="0.35">
      <c r="A884">
        <v>1030</v>
      </c>
      <c r="B884" s="1">
        <v>45143</v>
      </c>
      <c r="C884" t="s">
        <v>14</v>
      </c>
      <c r="D884" t="s">
        <v>21</v>
      </c>
      <c r="E884" s="4">
        <v>9733.4599999999991</v>
      </c>
      <c r="F884">
        <v>34</v>
      </c>
      <c r="G884" t="s">
        <v>35</v>
      </c>
      <c r="H884" s="4">
        <v>3125.07</v>
      </c>
      <c r="I884" s="4">
        <v>3564.19</v>
      </c>
      <c r="J884" t="s">
        <v>17</v>
      </c>
      <c r="K884" s="2">
        <v>0.09</v>
      </c>
      <c r="L884" t="s">
        <v>18</v>
      </c>
      <c r="M884" t="s">
        <v>19</v>
      </c>
      <c r="N884" t="s">
        <v>23</v>
      </c>
      <c r="O884" s="5">
        <f t="shared" si="13"/>
        <v>14930.079999999996</v>
      </c>
    </row>
    <row r="885" spans="1:15" x14ac:dyDescent="0.35">
      <c r="A885">
        <v>1051</v>
      </c>
      <c r="B885" s="1">
        <v>45215</v>
      </c>
      <c r="C885" t="s">
        <v>42</v>
      </c>
      <c r="D885" t="s">
        <v>21</v>
      </c>
      <c r="E885" s="4">
        <v>7617</v>
      </c>
      <c r="F885">
        <v>43</v>
      </c>
      <c r="G885" t="s">
        <v>29</v>
      </c>
      <c r="H885" s="4">
        <v>287.99</v>
      </c>
      <c r="I885" s="4">
        <v>666.64</v>
      </c>
      <c r="J885" t="s">
        <v>17</v>
      </c>
      <c r="K885" s="2">
        <v>0</v>
      </c>
      <c r="L885" t="s">
        <v>27</v>
      </c>
      <c r="M885" t="s">
        <v>19</v>
      </c>
      <c r="N885" t="s">
        <v>51</v>
      </c>
      <c r="O885" s="5">
        <f t="shared" si="13"/>
        <v>16281.949999999999</v>
      </c>
    </row>
    <row r="886" spans="1:15" x14ac:dyDescent="0.35">
      <c r="A886">
        <v>1081</v>
      </c>
      <c r="B886" s="1">
        <v>45028</v>
      </c>
      <c r="C886" t="s">
        <v>14</v>
      </c>
      <c r="D886" t="s">
        <v>25</v>
      </c>
      <c r="E886" s="4">
        <v>9680.84</v>
      </c>
      <c r="F886">
        <v>19</v>
      </c>
      <c r="G886" t="s">
        <v>26</v>
      </c>
      <c r="H886" s="4">
        <v>2443.69</v>
      </c>
      <c r="I886" s="4">
        <v>2462.34</v>
      </c>
      <c r="J886" t="s">
        <v>30</v>
      </c>
      <c r="K886" s="2">
        <v>7.0000000000000007E-2</v>
      </c>
      <c r="L886" t="s">
        <v>27</v>
      </c>
      <c r="M886" t="s">
        <v>22</v>
      </c>
      <c r="N886" t="s">
        <v>32</v>
      </c>
      <c r="O886" s="5">
        <f t="shared" si="13"/>
        <v>354.35000000000173</v>
      </c>
    </row>
    <row r="887" spans="1:15" x14ac:dyDescent="0.35">
      <c r="A887">
        <v>1005</v>
      </c>
      <c r="B887" s="1">
        <v>45193</v>
      </c>
      <c r="C887" t="s">
        <v>38</v>
      </c>
      <c r="D887" t="s">
        <v>25</v>
      </c>
      <c r="E887" s="4">
        <v>4453.43</v>
      </c>
      <c r="F887">
        <v>6</v>
      </c>
      <c r="G887" t="s">
        <v>26</v>
      </c>
      <c r="H887" s="4">
        <v>122.5</v>
      </c>
      <c r="I887" s="4">
        <v>385.83</v>
      </c>
      <c r="J887" t="s">
        <v>17</v>
      </c>
      <c r="K887" s="2">
        <v>0.1</v>
      </c>
      <c r="L887" t="s">
        <v>18</v>
      </c>
      <c r="M887" t="s">
        <v>22</v>
      </c>
      <c r="N887" t="s">
        <v>39</v>
      </c>
      <c r="O887" s="5">
        <f t="shared" si="13"/>
        <v>1579.98</v>
      </c>
    </row>
    <row r="888" spans="1:15" x14ac:dyDescent="0.35">
      <c r="A888">
        <v>1029</v>
      </c>
      <c r="B888" s="1">
        <v>45140</v>
      </c>
      <c r="C888" t="s">
        <v>38</v>
      </c>
      <c r="D888" t="s">
        <v>25</v>
      </c>
      <c r="E888" s="4">
        <v>2855.85</v>
      </c>
      <c r="F888">
        <v>46</v>
      </c>
      <c r="G888" t="s">
        <v>16</v>
      </c>
      <c r="H888" s="4">
        <v>4609.66</v>
      </c>
      <c r="I888" s="4">
        <v>4879.1499999999996</v>
      </c>
      <c r="J888" t="s">
        <v>17</v>
      </c>
      <c r="K888" s="2">
        <v>0.3</v>
      </c>
      <c r="L888" t="s">
        <v>18</v>
      </c>
      <c r="M888" t="s">
        <v>22</v>
      </c>
      <c r="N888" t="s">
        <v>39</v>
      </c>
      <c r="O888" s="5">
        <f t="shared" si="13"/>
        <v>12396.53999999999</v>
      </c>
    </row>
    <row r="889" spans="1:15" x14ac:dyDescent="0.35">
      <c r="A889">
        <v>1004</v>
      </c>
      <c r="B889" s="1">
        <v>45105</v>
      </c>
      <c r="C889" t="s">
        <v>14</v>
      </c>
      <c r="D889" t="s">
        <v>21</v>
      </c>
      <c r="E889" s="4">
        <v>8003.1</v>
      </c>
      <c r="F889">
        <v>38</v>
      </c>
      <c r="G889" t="s">
        <v>16</v>
      </c>
      <c r="H889" s="4">
        <v>4881.63</v>
      </c>
      <c r="I889" s="4">
        <v>5088.0600000000004</v>
      </c>
      <c r="J889" t="s">
        <v>17</v>
      </c>
      <c r="K889" s="2">
        <v>0.16</v>
      </c>
      <c r="L889" t="s">
        <v>31</v>
      </c>
      <c r="M889" t="s">
        <v>22</v>
      </c>
      <c r="N889" t="s">
        <v>23</v>
      </c>
      <c r="O889" s="5">
        <f t="shared" si="13"/>
        <v>7844.3400000000111</v>
      </c>
    </row>
    <row r="890" spans="1:15" x14ac:dyDescent="0.35">
      <c r="A890">
        <v>1010</v>
      </c>
      <c r="B890" s="1">
        <v>45014</v>
      </c>
      <c r="C890" t="s">
        <v>42</v>
      </c>
      <c r="D890" t="s">
        <v>25</v>
      </c>
      <c r="E890" s="4">
        <v>3329.91</v>
      </c>
      <c r="F890">
        <v>49</v>
      </c>
      <c r="G890" t="s">
        <v>26</v>
      </c>
      <c r="H890" s="4">
        <v>1150.3</v>
      </c>
      <c r="I890" s="4">
        <v>1306.02</v>
      </c>
      <c r="J890" t="s">
        <v>30</v>
      </c>
      <c r="K890" s="2">
        <v>0.06</v>
      </c>
      <c r="L890" t="s">
        <v>31</v>
      </c>
      <c r="M890" t="s">
        <v>22</v>
      </c>
      <c r="N890" t="s">
        <v>43</v>
      </c>
      <c r="O890" s="5">
        <f t="shared" si="13"/>
        <v>7630.2800000000016</v>
      </c>
    </row>
    <row r="891" spans="1:15" x14ac:dyDescent="0.35">
      <c r="A891">
        <v>1056</v>
      </c>
      <c r="B891" s="1">
        <v>44967</v>
      </c>
      <c r="C891" t="s">
        <v>14</v>
      </c>
      <c r="D891" t="s">
        <v>21</v>
      </c>
      <c r="E891" s="4">
        <v>3063.9</v>
      </c>
      <c r="F891">
        <v>42</v>
      </c>
      <c r="G891" t="s">
        <v>16</v>
      </c>
      <c r="H891" s="4">
        <v>1080.1199999999999</v>
      </c>
      <c r="I891" s="4">
        <v>1424.1699999999901</v>
      </c>
      <c r="J891" t="s">
        <v>30</v>
      </c>
      <c r="K891" s="2">
        <v>0.1</v>
      </c>
      <c r="L891" t="s">
        <v>18</v>
      </c>
      <c r="M891" t="s">
        <v>19</v>
      </c>
      <c r="N891" t="s">
        <v>23</v>
      </c>
      <c r="O891" s="5">
        <f t="shared" si="13"/>
        <v>14450.099999999587</v>
      </c>
    </row>
    <row r="892" spans="1:15" x14ac:dyDescent="0.35">
      <c r="A892">
        <v>1017</v>
      </c>
      <c r="B892" s="1">
        <v>45002</v>
      </c>
      <c r="C892" t="s">
        <v>14</v>
      </c>
      <c r="D892" t="s">
        <v>15</v>
      </c>
      <c r="E892" s="4">
        <v>2401.81</v>
      </c>
      <c r="F892">
        <v>28</v>
      </c>
      <c r="G892" t="s">
        <v>29</v>
      </c>
      <c r="H892" s="4">
        <v>3780.91</v>
      </c>
      <c r="I892" s="4">
        <v>3892.73</v>
      </c>
      <c r="J892" t="s">
        <v>17</v>
      </c>
      <c r="K892" s="2">
        <v>0.1</v>
      </c>
      <c r="L892" t="s">
        <v>18</v>
      </c>
      <c r="M892" t="s">
        <v>22</v>
      </c>
      <c r="N892" t="s">
        <v>20</v>
      </c>
      <c r="O892" s="5">
        <f t="shared" si="13"/>
        <v>3130.9600000000046</v>
      </c>
    </row>
    <row r="893" spans="1:15" x14ac:dyDescent="0.35">
      <c r="A893">
        <v>1074</v>
      </c>
      <c r="B893" s="1">
        <v>44972</v>
      </c>
      <c r="C893" t="s">
        <v>14</v>
      </c>
      <c r="D893" t="s">
        <v>21</v>
      </c>
      <c r="E893" s="4">
        <v>1383.82</v>
      </c>
      <c r="F893">
        <v>1</v>
      </c>
      <c r="G893" t="s">
        <v>16</v>
      </c>
      <c r="H893" s="4">
        <v>1304.23</v>
      </c>
      <c r="I893" s="4">
        <v>1705.71</v>
      </c>
      <c r="J893" t="s">
        <v>17</v>
      </c>
      <c r="K893" s="2">
        <v>0.01</v>
      </c>
      <c r="L893" t="s">
        <v>18</v>
      </c>
      <c r="M893" t="s">
        <v>22</v>
      </c>
      <c r="N893" t="s">
        <v>23</v>
      </c>
      <c r="O893" s="5">
        <f t="shared" si="13"/>
        <v>401.48</v>
      </c>
    </row>
    <row r="894" spans="1:15" x14ac:dyDescent="0.35">
      <c r="A894">
        <v>1017</v>
      </c>
      <c r="B894" s="1">
        <v>45086</v>
      </c>
      <c r="C894" t="s">
        <v>33</v>
      </c>
      <c r="D894" t="s">
        <v>34</v>
      </c>
      <c r="E894" s="4">
        <v>2638.98</v>
      </c>
      <c r="F894">
        <v>35</v>
      </c>
      <c r="G894" t="s">
        <v>16</v>
      </c>
      <c r="H894" s="4">
        <v>4480.63</v>
      </c>
      <c r="I894" s="4">
        <v>4884.12</v>
      </c>
      <c r="J894" t="s">
        <v>30</v>
      </c>
      <c r="K894" s="2">
        <v>0.04</v>
      </c>
      <c r="L894" t="s">
        <v>18</v>
      </c>
      <c r="M894" t="s">
        <v>19</v>
      </c>
      <c r="N894" t="s">
        <v>36</v>
      </c>
      <c r="O894" s="5">
        <f t="shared" si="13"/>
        <v>14122.149999999992</v>
      </c>
    </row>
    <row r="895" spans="1:15" x14ac:dyDescent="0.35">
      <c r="A895">
        <v>1084</v>
      </c>
      <c r="B895" s="1">
        <v>45006</v>
      </c>
      <c r="C895" t="s">
        <v>38</v>
      </c>
      <c r="D895" t="s">
        <v>25</v>
      </c>
      <c r="E895" s="4">
        <v>3617.67</v>
      </c>
      <c r="F895">
        <v>40</v>
      </c>
      <c r="G895" t="s">
        <v>26</v>
      </c>
      <c r="H895" s="4">
        <v>2890.95</v>
      </c>
      <c r="I895" s="4">
        <v>3104.43</v>
      </c>
      <c r="J895" t="s">
        <v>30</v>
      </c>
      <c r="K895" s="2">
        <v>0.21</v>
      </c>
      <c r="L895" t="s">
        <v>27</v>
      </c>
      <c r="M895" t="s">
        <v>19</v>
      </c>
      <c r="N895" t="s">
        <v>39</v>
      </c>
      <c r="O895" s="5">
        <f t="shared" si="13"/>
        <v>8539.2000000000007</v>
      </c>
    </row>
    <row r="896" spans="1:15" x14ac:dyDescent="0.35">
      <c r="A896">
        <v>1088</v>
      </c>
      <c r="B896" s="1">
        <v>45236</v>
      </c>
      <c r="C896" t="s">
        <v>24</v>
      </c>
      <c r="D896" t="s">
        <v>25</v>
      </c>
      <c r="E896" s="4">
        <v>6772.54</v>
      </c>
      <c r="F896">
        <v>8</v>
      </c>
      <c r="G896" t="s">
        <v>26</v>
      </c>
      <c r="H896" s="4">
        <v>1786.35</v>
      </c>
      <c r="I896" s="4">
        <v>1935.29</v>
      </c>
      <c r="J896" t="s">
        <v>30</v>
      </c>
      <c r="K896" s="2">
        <v>0.04</v>
      </c>
      <c r="L896" t="s">
        <v>18</v>
      </c>
      <c r="M896" t="s">
        <v>19</v>
      </c>
      <c r="N896" t="s">
        <v>28</v>
      </c>
      <c r="O896" s="5">
        <f t="shared" si="13"/>
        <v>1191.5200000000004</v>
      </c>
    </row>
    <row r="897" spans="1:15" x14ac:dyDescent="0.35">
      <c r="A897">
        <v>1069</v>
      </c>
      <c r="B897" s="1">
        <v>45012</v>
      </c>
      <c r="C897" t="s">
        <v>24</v>
      </c>
      <c r="D897" t="s">
        <v>34</v>
      </c>
      <c r="E897" s="4">
        <v>719.39</v>
      </c>
      <c r="F897">
        <v>47</v>
      </c>
      <c r="G897" t="s">
        <v>35</v>
      </c>
      <c r="H897" s="4">
        <v>4171.83</v>
      </c>
      <c r="I897" s="4">
        <v>4320.93</v>
      </c>
      <c r="J897" t="s">
        <v>30</v>
      </c>
      <c r="K897" s="2">
        <v>7.0000000000000007E-2</v>
      </c>
      <c r="L897" t="s">
        <v>18</v>
      </c>
      <c r="M897" t="s">
        <v>19</v>
      </c>
      <c r="N897" t="s">
        <v>50</v>
      </c>
      <c r="O897" s="5">
        <f t="shared" si="13"/>
        <v>7007.7000000000171</v>
      </c>
    </row>
    <row r="898" spans="1:15" x14ac:dyDescent="0.35">
      <c r="A898">
        <v>1034</v>
      </c>
      <c r="B898" s="1">
        <v>45018</v>
      </c>
      <c r="C898" t="s">
        <v>33</v>
      </c>
      <c r="D898" t="s">
        <v>21</v>
      </c>
      <c r="E898" s="4">
        <v>2184.02</v>
      </c>
      <c r="F898">
        <v>7</v>
      </c>
      <c r="G898" t="s">
        <v>35</v>
      </c>
      <c r="H898" s="4">
        <v>2492.36</v>
      </c>
      <c r="I898" s="4">
        <v>2738.68</v>
      </c>
      <c r="J898" t="s">
        <v>17</v>
      </c>
      <c r="K898" s="2">
        <v>0.11</v>
      </c>
      <c r="L898" t="s">
        <v>18</v>
      </c>
      <c r="M898" t="s">
        <v>19</v>
      </c>
      <c r="N898" t="s">
        <v>37</v>
      </c>
      <c r="O898" s="5">
        <f t="shared" ref="O898:O961" si="14">(I898-H898)*F898</f>
        <v>1724.239999999998</v>
      </c>
    </row>
    <row r="899" spans="1:15" x14ac:dyDescent="0.35">
      <c r="A899">
        <v>1006</v>
      </c>
      <c r="B899" s="1">
        <v>45074</v>
      </c>
      <c r="C899" t="s">
        <v>14</v>
      </c>
      <c r="D899" t="s">
        <v>15</v>
      </c>
      <c r="E899" s="4">
        <v>8109.33</v>
      </c>
      <c r="F899">
        <v>11</v>
      </c>
      <c r="G899" t="s">
        <v>26</v>
      </c>
      <c r="H899" s="4">
        <v>4562.58</v>
      </c>
      <c r="I899" s="4">
        <v>4925.17</v>
      </c>
      <c r="J899" t="s">
        <v>30</v>
      </c>
      <c r="K899" s="2">
        <v>0.23</v>
      </c>
      <c r="L899" t="s">
        <v>18</v>
      </c>
      <c r="M899" t="s">
        <v>22</v>
      </c>
      <c r="N899" t="s">
        <v>20</v>
      </c>
      <c r="O899" s="5">
        <f t="shared" si="14"/>
        <v>3988.4900000000016</v>
      </c>
    </row>
    <row r="900" spans="1:15" x14ac:dyDescent="0.35">
      <c r="A900">
        <v>1053</v>
      </c>
      <c r="B900" s="1">
        <v>45087</v>
      </c>
      <c r="C900" t="s">
        <v>33</v>
      </c>
      <c r="D900" t="s">
        <v>34</v>
      </c>
      <c r="E900" s="4">
        <v>1554.53</v>
      </c>
      <c r="F900">
        <v>39</v>
      </c>
      <c r="G900" t="s">
        <v>16</v>
      </c>
      <c r="H900" s="4">
        <v>4643.67</v>
      </c>
      <c r="I900" s="4">
        <v>4829.5200000000004</v>
      </c>
      <c r="J900" t="s">
        <v>17</v>
      </c>
      <c r="K900" s="2">
        <v>0.17</v>
      </c>
      <c r="L900" t="s">
        <v>27</v>
      </c>
      <c r="M900" t="s">
        <v>19</v>
      </c>
      <c r="N900" t="s">
        <v>36</v>
      </c>
      <c r="O900" s="5">
        <f t="shared" si="14"/>
        <v>7248.1500000000142</v>
      </c>
    </row>
    <row r="901" spans="1:15" x14ac:dyDescent="0.35">
      <c r="A901">
        <v>1066</v>
      </c>
      <c r="B901" s="1">
        <v>45128</v>
      </c>
      <c r="C901" t="s">
        <v>33</v>
      </c>
      <c r="D901" t="s">
        <v>34</v>
      </c>
      <c r="E901" s="4">
        <v>3492.19</v>
      </c>
      <c r="F901">
        <v>4</v>
      </c>
      <c r="G901" t="s">
        <v>16</v>
      </c>
      <c r="H901" s="4">
        <v>868.83</v>
      </c>
      <c r="I901" s="4">
        <v>1177.75</v>
      </c>
      <c r="J901" t="s">
        <v>17</v>
      </c>
      <c r="K901" s="2">
        <v>0.21</v>
      </c>
      <c r="L901" t="s">
        <v>31</v>
      </c>
      <c r="M901" t="s">
        <v>22</v>
      </c>
      <c r="N901" t="s">
        <v>36</v>
      </c>
      <c r="O901" s="5">
        <f t="shared" si="14"/>
        <v>1235.6799999999998</v>
      </c>
    </row>
    <row r="902" spans="1:15" x14ac:dyDescent="0.35">
      <c r="A902">
        <v>1077</v>
      </c>
      <c r="B902" s="1">
        <v>45168</v>
      </c>
      <c r="C902" t="s">
        <v>42</v>
      </c>
      <c r="D902" t="s">
        <v>21</v>
      </c>
      <c r="E902" s="4">
        <v>8660.1200000000008</v>
      </c>
      <c r="F902">
        <v>25</v>
      </c>
      <c r="G902" t="s">
        <v>35</v>
      </c>
      <c r="H902" s="4">
        <v>61.5</v>
      </c>
      <c r="I902" s="4">
        <v>258.91999999999899</v>
      </c>
      <c r="J902" t="s">
        <v>30</v>
      </c>
      <c r="K902" s="2">
        <v>0.17</v>
      </c>
      <c r="L902" t="s">
        <v>31</v>
      </c>
      <c r="M902" t="s">
        <v>19</v>
      </c>
      <c r="N902" t="s">
        <v>51</v>
      </c>
      <c r="O902" s="5">
        <f t="shared" si="14"/>
        <v>4935.4999999999745</v>
      </c>
    </row>
    <row r="903" spans="1:15" x14ac:dyDescent="0.35">
      <c r="A903">
        <v>1043</v>
      </c>
      <c r="B903" s="1">
        <v>45279</v>
      </c>
      <c r="C903" t="s">
        <v>38</v>
      </c>
      <c r="D903" t="s">
        <v>25</v>
      </c>
      <c r="E903" s="4">
        <v>1633.76</v>
      </c>
      <c r="F903">
        <v>12</v>
      </c>
      <c r="G903" t="s">
        <v>35</v>
      </c>
      <c r="H903" s="4">
        <v>4920.46</v>
      </c>
      <c r="I903" s="4">
        <v>5079.68</v>
      </c>
      <c r="J903" t="s">
        <v>30</v>
      </c>
      <c r="K903" s="2">
        <v>0.21</v>
      </c>
      <c r="L903" t="s">
        <v>31</v>
      </c>
      <c r="M903" t="s">
        <v>22</v>
      </c>
      <c r="N903" t="s">
        <v>39</v>
      </c>
      <c r="O903" s="5">
        <f t="shared" si="14"/>
        <v>1910.6400000000031</v>
      </c>
    </row>
    <row r="904" spans="1:15" x14ac:dyDescent="0.35">
      <c r="A904">
        <v>1075</v>
      </c>
      <c r="B904" s="1">
        <v>44928</v>
      </c>
      <c r="C904" t="s">
        <v>24</v>
      </c>
      <c r="D904" t="s">
        <v>21</v>
      </c>
      <c r="E904" s="4">
        <v>919.09</v>
      </c>
      <c r="F904">
        <v>26</v>
      </c>
      <c r="G904" t="s">
        <v>35</v>
      </c>
      <c r="H904" s="4">
        <v>4535.38</v>
      </c>
      <c r="I904" s="4">
        <v>4557.5600000000004</v>
      </c>
      <c r="J904" t="s">
        <v>30</v>
      </c>
      <c r="K904" s="2">
        <v>0</v>
      </c>
      <c r="L904" t="s">
        <v>31</v>
      </c>
      <c r="M904" t="s">
        <v>19</v>
      </c>
      <c r="N904" t="s">
        <v>47</v>
      </c>
      <c r="O904" s="5">
        <f t="shared" si="14"/>
        <v>576.68000000000757</v>
      </c>
    </row>
    <row r="905" spans="1:15" x14ac:dyDescent="0.35">
      <c r="A905">
        <v>1023</v>
      </c>
      <c r="B905" s="1">
        <v>45151</v>
      </c>
      <c r="C905" t="s">
        <v>14</v>
      </c>
      <c r="D905" t="s">
        <v>34</v>
      </c>
      <c r="E905" s="4">
        <v>4896.93</v>
      </c>
      <c r="F905">
        <v>38</v>
      </c>
      <c r="G905" t="s">
        <v>29</v>
      </c>
      <c r="H905" s="4">
        <v>324.45</v>
      </c>
      <c r="I905" s="4">
        <v>336.37</v>
      </c>
      <c r="J905" t="s">
        <v>30</v>
      </c>
      <c r="K905" s="2">
        <v>0.28000000000000003</v>
      </c>
      <c r="L905" t="s">
        <v>31</v>
      </c>
      <c r="M905" t="s">
        <v>22</v>
      </c>
      <c r="N905" t="s">
        <v>46</v>
      </c>
      <c r="O905" s="5">
        <f t="shared" si="14"/>
        <v>452.9600000000006</v>
      </c>
    </row>
    <row r="906" spans="1:15" x14ac:dyDescent="0.35">
      <c r="A906">
        <v>1055</v>
      </c>
      <c r="B906" s="1">
        <v>45215</v>
      </c>
      <c r="C906" t="s">
        <v>24</v>
      </c>
      <c r="D906" t="s">
        <v>34</v>
      </c>
      <c r="E906" s="4">
        <v>3093.95</v>
      </c>
      <c r="F906">
        <v>46</v>
      </c>
      <c r="G906" t="s">
        <v>29</v>
      </c>
      <c r="H906" s="4">
        <v>4173.5200000000004</v>
      </c>
      <c r="I906" s="4">
        <v>4294.8500000000004</v>
      </c>
      <c r="J906" t="s">
        <v>17</v>
      </c>
      <c r="K906" s="2">
        <v>0.03</v>
      </c>
      <c r="L906" t="s">
        <v>27</v>
      </c>
      <c r="M906" t="s">
        <v>22</v>
      </c>
      <c r="N906" t="s">
        <v>50</v>
      </c>
      <c r="O906" s="5">
        <f t="shared" si="14"/>
        <v>5581.1799999999967</v>
      </c>
    </row>
    <row r="907" spans="1:15" x14ac:dyDescent="0.35">
      <c r="A907">
        <v>1080</v>
      </c>
      <c r="B907" s="1">
        <v>45159</v>
      </c>
      <c r="C907" t="s">
        <v>24</v>
      </c>
      <c r="D907" t="s">
        <v>25</v>
      </c>
      <c r="E907" s="4">
        <v>5677.74</v>
      </c>
      <c r="F907">
        <v>12</v>
      </c>
      <c r="G907" t="s">
        <v>35</v>
      </c>
      <c r="H907" s="4">
        <v>2316.13</v>
      </c>
      <c r="I907" s="4">
        <v>2525.27</v>
      </c>
      <c r="J907" t="s">
        <v>17</v>
      </c>
      <c r="K907" s="2">
        <v>0.12</v>
      </c>
      <c r="L907" t="s">
        <v>31</v>
      </c>
      <c r="M907" t="s">
        <v>22</v>
      </c>
      <c r="N907" t="s">
        <v>28</v>
      </c>
      <c r="O907" s="5">
        <f t="shared" si="14"/>
        <v>2509.6799999999985</v>
      </c>
    </row>
    <row r="908" spans="1:15" x14ac:dyDescent="0.35">
      <c r="A908">
        <v>1095</v>
      </c>
      <c r="B908" s="1">
        <v>45003</v>
      </c>
      <c r="C908" t="s">
        <v>38</v>
      </c>
      <c r="D908" t="s">
        <v>25</v>
      </c>
      <c r="E908" s="4">
        <v>8057.67</v>
      </c>
      <c r="F908">
        <v>43</v>
      </c>
      <c r="G908" t="s">
        <v>16</v>
      </c>
      <c r="H908" s="4">
        <v>1331.86</v>
      </c>
      <c r="I908" s="4">
        <v>1758.98</v>
      </c>
      <c r="J908" t="s">
        <v>17</v>
      </c>
      <c r="K908" s="2">
        <v>0.23</v>
      </c>
      <c r="L908" t="s">
        <v>27</v>
      </c>
      <c r="M908" t="s">
        <v>22</v>
      </c>
      <c r="N908" t="s">
        <v>39</v>
      </c>
      <c r="O908" s="5">
        <f t="shared" si="14"/>
        <v>18366.160000000003</v>
      </c>
    </row>
    <row r="909" spans="1:15" x14ac:dyDescent="0.35">
      <c r="A909">
        <v>1075</v>
      </c>
      <c r="B909" s="1">
        <v>45042</v>
      </c>
      <c r="C909" t="s">
        <v>24</v>
      </c>
      <c r="D909" t="s">
        <v>25</v>
      </c>
      <c r="E909" s="4">
        <v>1457.77</v>
      </c>
      <c r="F909">
        <v>37</v>
      </c>
      <c r="G909" t="s">
        <v>35</v>
      </c>
      <c r="H909" s="4">
        <v>4399.8</v>
      </c>
      <c r="I909" s="4">
        <v>4801.0600000000004</v>
      </c>
      <c r="J909" t="s">
        <v>30</v>
      </c>
      <c r="K909" s="2">
        <v>0.13</v>
      </c>
      <c r="L909" t="s">
        <v>27</v>
      </c>
      <c r="M909" t="s">
        <v>22</v>
      </c>
      <c r="N909" t="s">
        <v>28</v>
      </c>
      <c r="O909" s="5">
        <f t="shared" si="14"/>
        <v>14846.620000000008</v>
      </c>
    </row>
    <row r="910" spans="1:15" x14ac:dyDescent="0.35">
      <c r="A910">
        <v>1016</v>
      </c>
      <c r="B910" s="1">
        <v>45080</v>
      </c>
      <c r="C910" t="s">
        <v>24</v>
      </c>
      <c r="D910" t="s">
        <v>21</v>
      </c>
      <c r="E910" s="4">
        <v>5848.92</v>
      </c>
      <c r="F910">
        <v>46</v>
      </c>
      <c r="G910" t="s">
        <v>29</v>
      </c>
      <c r="H910" s="4">
        <v>1023.5</v>
      </c>
      <c r="I910" s="4">
        <v>1164.4100000000001</v>
      </c>
      <c r="J910" t="s">
        <v>17</v>
      </c>
      <c r="K910" s="2">
        <v>0.28000000000000003</v>
      </c>
      <c r="L910" t="s">
        <v>31</v>
      </c>
      <c r="M910" t="s">
        <v>22</v>
      </c>
      <c r="N910" t="s">
        <v>47</v>
      </c>
      <c r="O910" s="5">
        <f t="shared" si="14"/>
        <v>6481.8600000000042</v>
      </c>
    </row>
    <row r="911" spans="1:15" x14ac:dyDescent="0.35">
      <c r="A911">
        <v>1008</v>
      </c>
      <c r="B911" s="1">
        <v>45029</v>
      </c>
      <c r="C911" t="s">
        <v>33</v>
      </c>
      <c r="D911" t="s">
        <v>25</v>
      </c>
      <c r="E911" s="4">
        <v>5104.54</v>
      </c>
      <c r="F911">
        <v>24</v>
      </c>
      <c r="G911" t="s">
        <v>16</v>
      </c>
      <c r="H911" s="4">
        <v>4739.13</v>
      </c>
      <c r="I911" s="4">
        <v>4868.95</v>
      </c>
      <c r="J911" t="s">
        <v>30</v>
      </c>
      <c r="K911" s="2">
        <v>0.14000000000000001</v>
      </c>
      <c r="L911" t="s">
        <v>31</v>
      </c>
      <c r="M911" t="s">
        <v>22</v>
      </c>
      <c r="N911" t="s">
        <v>44</v>
      </c>
      <c r="O911" s="5">
        <f t="shared" si="14"/>
        <v>3115.679999999993</v>
      </c>
    </row>
    <row r="912" spans="1:15" x14ac:dyDescent="0.35">
      <c r="A912">
        <v>1004</v>
      </c>
      <c r="B912" s="1">
        <v>45120</v>
      </c>
      <c r="C912" t="s">
        <v>38</v>
      </c>
      <c r="D912" t="s">
        <v>34</v>
      </c>
      <c r="E912" s="4">
        <v>1526.38</v>
      </c>
      <c r="F912">
        <v>16</v>
      </c>
      <c r="G912" t="s">
        <v>29</v>
      </c>
      <c r="H912" s="4">
        <v>1067.83</v>
      </c>
      <c r="I912" s="4">
        <v>1189.22</v>
      </c>
      <c r="J912" t="s">
        <v>17</v>
      </c>
      <c r="K912" s="2">
        <v>0.26</v>
      </c>
      <c r="L912" t="s">
        <v>31</v>
      </c>
      <c r="M912" t="s">
        <v>22</v>
      </c>
      <c r="N912" t="s">
        <v>48</v>
      </c>
      <c r="O912" s="5">
        <f t="shared" si="14"/>
        <v>1942.2400000000016</v>
      </c>
    </row>
    <row r="913" spans="1:15" x14ac:dyDescent="0.35">
      <c r="A913">
        <v>1004</v>
      </c>
      <c r="B913" s="1">
        <v>45092</v>
      </c>
      <c r="C913" t="s">
        <v>42</v>
      </c>
      <c r="D913" t="s">
        <v>34</v>
      </c>
      <c r="E913" s="4">
        <v>6277.59</v>
      </c>
      <c r="F913">
        <v>13</v>
      </c>
      <c r="G913" t="s">
        <v>16</v>
      </c>
      <c r="H913" s="4">
        <v>3087.73</v>
      </c>
      <c r="I913" s="4">
        <v>3263.96</v>
      </c>
      <c r="J913" t="s">
        <v>30</v>
      </c>
      <c r="K913" s="2">
        <v>0.24</v>
      </c>
      <c r="L913" t="s">
        <v>18</v>
      </c>
      <c r="M913" t="s">
        <v>22</v>
      </c>
      <c r="N913" t="s">
        <v>52</v>
      </c>
      <c r="O913" s="5">
        <f t="shared" si="14"/>
        <v>2290.9900000000002</v>
      </c>
    </row>
    <row r="914" spans="1:15" x14ac:dyDescent="0.35">
      <c r="A914">
        <v>1056</v>
      </c>
      <c r="B914" s="1">
        <v>45285</v>
      </c>
      <c r="C914" t="s">
        <v>14</v>
      </c>
      <c r="D914" t="s">
        <v>15</v>
      </c>
      <c r="E914" s="4">
        <v>2809.04</v>
      </c>
      <c r="F914">
        <v>25</v>
      </c>
      <c r="G914" t="s">
        <v>29</v>
      </c>
      <c r="H914" s="4">
        <v>1154.28</v>
      </c>
      <c r="I914" s="4">
        <v>1408.4</v>
      </c>
      <c r="J914" t="s">
        <v>17</v>
      </c>
      <c r="K914" s="2">
        <v>0.28999999999999998</v>
      </c>
      <c r="L914" t="s">
        <v>27</v>
      </c>
      <c r="M914" t="s">
        <v>22</v>
      </c>
      <c r="N914" t="s">
        <v>20</v>
      </c>
      <c r="O914" s="5">
        <f t="shared" si="14"/>
        <v>6353.0000000000027</v>
      </c>
    </row>
    <row r="915" spans="1:15" x14ac:dyDescent="0.35">
      <c r="A915">
        <v>1025</v>
      </c>
      <c r="B915" s="1">
        <v>45016</v>
      </c>
      <c r="C915" t="s">
        <v>24</v>
      </c>
      <c r="D915" t="s">
        <v>21</v>
      </c>
      <c r="E915" s="4">
        <v>4929.5600000000004</v>
      </c>
      <c r="F915">
        <v>4</v>
      </c>
      <c r="G915" t="s">
        <v>16</v>
      </c>
      <c r="H915" s="4">
        <v>2751.06</v>
      </c>
      <c r="I915" s="4">
        <v>2976.0099999999902</v>
      </c>
      <c r="J915" t="s">
        <v>17</v>
      </c>
      <c r="K915" s="2">
        <v>0.28000000000000003</v>
      </c>
      <c r="L915" t="s">
        <v>31</v>
      </c>
      <c r="M915" t="s">
        <v>19</v>
      </c>
      <c r="N915" t="s">
        <v>47</v>
      </c>
      <c r="O915" s="5">
        <f t="shared" si="14"/>
        <v>899.79999999996107</v>
      </c>
    </row>
    <row r="916" spans="1:15" x14ac:dyDescent="0.35">
      <c r="A916">
        <v>1067</v>
      </c>
      <c r="B916" s="1">
        <v>45100</v>
      </c>
      <c r="C916" t="s">
        <v>14</v>
      </c>
      <c r="D916" t="s">
        <v>15</v>
      </c>
      <c r="E916" s="4">
        <v>914.5</v>
      </c>
      <c r="F916">
        <v>11</v>
      </c>
      <c r="G916" t="s">
        <v>16</v>
      </c>
      <c r="H916" s="4">
        <v>3435.68</v>
      </c>
      <c r="I916" s="4">
        <v>3552.6299999999901</v>
      </c>
      <c r="J916" t="s">
        <v>30</v>
      </c>
      <c r="K916" s="2">
        <v>0.27</v>
      </c>
      <c r="L916" t="s">
        <v>18</v>
      </c>
      <c r="M916" t="s">
        <v>22</v>
      </c>
      <c r="N916" t="s">
        <v>20</v>
      </c>
      <c r="O916" s="5">
        <f t="shared" si="14"/>
        <v>1286.449999999893</v>
      </c>
    </row>
    <row r="917" spans="1:15" x14ac:dyDescent="0.35">
      <c r="A917">
        <v>1096</v>
      </c>
      <c r="B917" s="1">
        <v>45048</v>
      </c>
      <c r="C917" t="s">
        <v>42</v>
      </c>
      <c r="D917" t="s">
        <v>34</v>
      </c>
      <c r="E917" s="4">
        <v>4649.88</v>
      </c>
      <c r="F917">
        <v>32</v>
      </c>
      <c r="G917" t="s">
        <v>16</v>
      </c>
      <c r="H917" s="4">
        <v>991.63</v>
      </c>
      <c r="I917" s="4">
        <v>1065.55</v>
      </c>
      <c r="J917" t="s">
        <v>17</v>
      </c>
      <c r="K917" s="2">
        <v>0.22</v>
      </c>
      <c r="L917" t="s">
        <v>27</v>
      </c>
      <c r="M917" t="s">
        <v>22</v>
      </c>
      <c r="N917" t="s">
        <v>52</v>
      </c>
      <c r="O917" s="5">
        <f t="shared" si="14"/>
        <v>2365.4399999999987</v>
      </c>
    </row>
    <row r="918" spans="1:15" x14ac:dyDescent="0.35">
      <c r="A918">
        <v>1067</v>
      </c>
      <c r="B918" s="1">
        <v>45069</v>
      </c>
      <c r="C918" t="s">
        <v>14</v>
      </c>
      <c r="D918" t="s">
        <v>15</v>
      </c>
      <c r="E918" s="4">
        <v>3133.99</v>
      </c>
      <c r="F918">
        <v>49</v>
      </c>
      <c r="G918" t="s">
        <v>16</v>
      </c>
      <c r="H918" s="4">
        <v>2628.38</v>
      </c>
      <c r="I918" s="4">
        <v>2644.54</v>
      </c>
      <c r="J918" t="s">
        <v>17</v>
      </c>
      <c r="K918" s="2">
        <v>0.11</v>
      </c>
      <c r="L918" t="s">
        <v>18</v>
      </c>
      <c r="M918" t="s">
        <v>19</v>
      </c>
      <c r="N918" t="s">
        <v>20</v>
      </c>
      <c r="O918" s="5">
        <f t="shared" si="14"/>
        <v>791.83999999999287</v>
      </c>
    </row>
    <row r="919" spans="1:15" x14ac:dyDescent="0.35">
      <c r="A919">
        <v>1027</v>
      </c>
      <c r="B919" s="1">
        <v>45032</v>
      </c>
      <c r="C919" t="s">
        <v>42</v>
      </c>
      <c r="D919" t="s">
        <v>34</v>
      </c>
      <c r="E919" s="4">
        <v>8241.57</v>
      </c>
      <c r="F919">
        <v>7</v>
      </c>
      <c r="G919" t="s">
        <v>26</v>
      </c>
      <c r="H919" s="4">
        <v>2371.85</v>
      </c>
      <c r="I919" s="4">
        <v>2457.29</v>
      </c>
      <c r="J919" t="s">
        <v>30</v>
      </c>
      <c r="K919" s="2">
        <v>0.03</v>
      </c>
      <c r="L919" t="s">
        <v>18</v>
      </c>
      <c r="M919" t="s">
        <v>22</v>
      </c>
      <c r="N919" t="s">
        <v>52</v>
      </c>
      <c r="O919" s="5">
        <f t="shared" si="14"/>
        <v>598.08000000000038</v>
      </c>
    </row>
    <row r="920" spans="1:15" x14ac:dyDescent="0.35">
      <c r="A920">
        <v>1093</v>
      </c>
      <c r="B920" s="1">
        <v>45231</v>
      </c>
      <c r="C920" t="s">
        <v>33</v>
      </c>
      <c r="D920" t="s">
        <v>15</v>
      </c>
      <c r="E920" s="4">
        <v>664.09</v>
      </c>
      <c r="F920">
        <v>46</v>
      </c>
      <c r="G920" t="s">
        <v>29</v>
      </c>
      <c r="H920" s="4">
        <v>401.64</v>
      </c>
      <c r="I920" s="4">
        <v>757.26</v>
      </c>
      <c r="J920" t="s">
        <v>30</v>
      </c>
      <c r="K920" s="2">
        <v>0.21</v>
      </c>
      <c r="L920" t="s">
        <v>31</v>
      </c>
      <c r="M920" t="s">
        <v>22</v>
      </c>
      <c r="N920" t="s">
        <v>53</v>
      </c>
      <c r="O920" s="5">
        <f t="shared" si="14"/>
        <v>16358.52</v>
      </c>
    </row>
    <row r="921" spans="1:15" x14ac:dyDescent="0.35">
      <c r="A921">
        <v>1032</v>
      </c>
      <c r="B921" s="1">
        <v>45286</v>
      </c>
      <c r="C921" t="s">
        <v>24</v>
      </c>
      <c r="D921" t="s">
        <v>25</v>
      </c>
      <c r="E921" s="4">
        <v>4244.21</v>
      </c>
      <c r="F921">
        <v>11</v>
      </c>
      <c r="G921" t="s">
        <v>29</v>
      </c>
      <c r="H921" s="4">
        <v>4100.62</v>
      </c>
      <c r="I921" s="4">
        <v>4230</v>
      </c>
      <c r="J921" t="s">
        <v>30</v>
      </c>
      <c r="K921" s="2">
        <v>0.28999999999999998</v>
      </c>
      <c r="L921" t="s">
        <v>27</v>
      </c>
      <c r="M921" t="s">
        <v>19</v>
      </c>
      <c r="N921" t="s">
        <v>28</v>
      </c>
      <c r="O921" s="5">
        <f t="shared" si="14"/>
        <v>1423.1800000000012</v>
      </c>
    </row>
    <row r="922" spans="1:15" x14ac:dyDescent="0.35">
      <c r="A922">
        <v>1050</v>
      </c>
      <c r="B922" s="1">
        <v>45243</v>
      </c>
      <c r="C922" t="s">
        <v>42</v>
      </c>
      <c r="D922" t="s">
        <v>15</v>
      </c>
      <c r="E922" s="4">
        <v>4638.47</v>
      </c>
      <c r="F922">
        <v>28</v>
      </c>
      <c r="G922" t="s">
        <v>26</v>
      </c>
      <c r="H922" s="4">
        <v>1711.63</v>
      </c>
      <c r="I922" s="4">
        <v>1951.24</v>
      </c>
      <c r="J922" t="s">
        <v>30</v>
      </c>
      <c r="K922" s="2">
        <v>0.22</v>
      </c>
      <c r="L922" t="s">
        <v>18</v>
      </c>
      <c r="M922" t="s">
        <v>19</v>
      </c>
      <c r="N922" t="s">
        <v>49</v>
      </c>
      <c r="O922" s="5">
        <f t="shared" si="14"/>
        <v>6709.0799999999972</v>
      </c>
    </row>
    <row r="923" spans="1:15" x14ac:dyDescent="0.35">
      <c r="A923">
        <v>1061</v>
      </c>
      <c r="B923" s="1">
        <v>45049</v>
      </c>
      <c r="C923" t="s">
        <v>14</v>
      </c>
      <c r="D923" t="s">
        <v>25</v>
      </c>
      <c r="E923" s="4">
        <v>7277.56</v>
      </c>
      <c r="F923">
        <v>41</v>
      </c>
      <c r="G923" t="s">
        <v>16</v>
      </c>
      <c r="H923" s="4">
        <v>2894.18</v>
      </c>
      <c r="I923" s="4">
        <v>3193.92</v>
      </c>
      <c r="J923" t="s">
        <v>30</v>
      </c>
      <c r="K923" s="2">
        <v>0.28000000000000003</v>
      </c>
      <c r="L923" t="s">
        <v>27</v>
      </c>
      <c r="M923" t="s">
        <v>22</v>
      </c>
      <c r="N923" t="s">
        <v>32</v>
      </c>
      <c r="O923" s="5">
        <f t="shared" si="14"/>
        <v>12289.340000000009</v>
      </c>
    </row>
    <row r="924" spans="1:15" x14ac:dyDescent="0.35">
      <c r="A924">
        <v>1051</v>
      </c>
      <c r="B924" s="1">
        <v>44935</v>
      </c>
      <c r="C924" t="s">
        <v>24</v>
      </c>
      <c r="D924" t="s">
        <v>25</v>
      </c>
      <c r="E924" s="4">
        <v>5785.45</v>
      </c>
      <c r="F924">
        <v>23</v>
      </c>
      <c r="G924" t="s">
        <v>16</v>
      </c>
      <c r="H924" s="4">
        <v>2598.1799999999998</v>
      </c>
      <c r="I924" s="4">
        <v>3042.73</v>
      </c>
      <c r="J924" t="s">
        <v>17</v>
      </c>
      <c r="K924" s="2">
        <v>0.24</v>
      </c>
      <c r="L924" t="s">
        <v>31</v>
      </c>
      <c r="M924" t="s">
        <v>19</v>
      </c>
      <c r="N924" t="s">
        <v>28</v>
      </c>
      <c r="O924" s="5">
        <f t="shared" si="14"/>
        <v>10224.650000000005</v>
      </c>
    </row>
    <row r="925" spans="1:15" x14ac:dyDescent="0.35">
      <c r="A925">
        <v>1019</v>
      </c>
      <c r="B925" s="1">
        <v>45188</v>
      </c>
      <c r="C925" t="s">
        <v>33</v>
      </c>
      <c r="D925" t="s">
        <v>21</v>
      </c>
      <c r="E925" s="4">
        <v>6705.4</v>
      </c>
      <c r="F925">
        <v>45</v>
      </c>
      <c r="G925" t="s">
        <v>29</v>
      </c>
      <c r="H925" s="4">
        <v>2590.64</v>
      </c>
      <c r="I925" s="4">
        <v>3036.18</v>
      </c>
      <c r="J925" t="s">
        <v>30</v>
      </c>
      <c r="K925" s="2">
        <v>0.05</v>
      </c>
      <c r="L925" t="s">
        <v>27</v>
      </c>
      <c r="M925" t="s">
        <v>22</v>
      </c>
      <c r="N925" t="s">
        <v>37</v>
      </c>
      <c r="O925" s="5">
        <f t="shared" si="14"/>
        <v>20049.3</v>
      </c>
    </row>
    <row r="926" spans="1:15" x14ac:dyDescent="0.35">
      <c r="A926">
        <v>1021</v>
      </c>
      <c r="B926" s="1">
        <v>44999</v>
      </c>
      <c r="C926" t="s">
        <v>24</v>
      </c>
      <c r="D926" t="s">
        <v>25</v>
      </c>
      <c r="E926" s="4">
        <v>7792.79</v>
      </c>
      <c r="F926">
        <v>23</v>
      </c>
      <c r="G926" t="s">
        <v>26</v>
      </c>
      <c r="H926" s="4">
        <v>580.75</v>
      </c>
      <c r="I926" s="4">
        <v>956.16</v>
      </c>
      <c r="J926" t="s">
        <v>17</v>
      </c>
      <c r="K926" s="2">
        <v>7.0000000000000007E-2</v>
      </c>
      <c r="L926" t="s">
        <v>18</v>
      </c>
      <c r="M926" t="s">
        <v>22</v>
      </c>
      <c r="N926" t="s">
        <v>28</v>
      </c>
      <c r="O926" s="5">
        <f t="shared" si="14"/>
        <v>8634.4299999999985</v>
      </c>
    </row>
    <row r="927" spans="1:15" x14ac:dyDescent="0.35">
      <c r="A927">
        <v>1005</v>
      </c>
      <c r="B927" s="1">
        <v>45285</v>
      </c>
      <c r="C927" t="s">
        <v>42</v>
      </c>
      <c r="D927" t="s">
        <v>25</v>
      </c>
      <c r="E927" s="4">
        <v>8635.81</v>
      </c>
      <c r="F927">
        <v>28</v>
      </c>
      <c r="G927" t="s">
        <v>16</v>
      </c>
      <c r="H927" s="4">
        <v>2146.2399999999998</v>
      </c>
      <c r="I927" s="4">
        <v>2173.4699999999998</v>
      </c>
      <c r="J927" t="s">
        <v>17</v>
      </c>
      <c r="K927" s="2">
        <v>0.1</v>
      </c>
      <c r="L927" t="s">
        <v>18</v>
      </c>
      <c r="M927" t="s">
        <v>22</v>
      </c>
      <c r="N927" t="s">
        <v>43</v>
      </c>
      <c r="O927" s="5">
        <f t="shared" si="14"/>
        <v>762.44000000000051</v>
      </c>
    </row>
    <row r="928" spans="1:15" x14ac:dyDescent="0.35">
      <c r="A928">
        <v>1082</v>
      </c>
      <c r="B928" s="1">
        <v>45149</v>
      </c>
      <c r="C928" t="s">
        <v>33</v>
      </c>
      <c r="D928" t="s">
        <v>15</v>
      </c>
      <c r="E928" s="4">
        <v>3207.37</v>
      </c>
      <c r="F928">
        <v>43</v>
      </c>
      <c r="G928" t="s">
        <v>16</v>
      </c>
      <c r="H928" s="4">
        <v>2289.2199999999998</v>
      </c>
      <c r="I928" s="4">
        <v>2581</v>
      </c>
      <c r="J928" t="s">
        <v>30</v>
      </c>
      <c r="K928" s="2">
        <v>0.05</v>
      </c>
      <c r="L928" t="s">
        <v>27</v>
      </c>
      <c r="M928" t="s">
        <v>19</v>
      </c>
      <c r="N928" t="s">
        <v>53</v>
      </c>
      <c r="O928" s="5">
        <f t="shared" si="14"/>
        <v>12546.540000000008</v>
      </c>
    </row>
    <row r="929" spans="1:15" x14ac:dyDescent="0.35">
      <c r="A929">
        <v>1092</v>
      </c>
      <c r="B929" s="1">
        <v>44967</v>
      </c>
      <c r="C929" t="s">
        <v>14</v>
      </c>
      <c r="D929" t="s">
        <v>34</v>
      </c>
      <c r="E929" s="4">
        <v>5426.42</v>
      </c>
      <c r="F929">
        <v>47</v>
      </c>
      <c r="G929" t="s">
        <v>16</v>
      </c>
      <c r="H929" s="4">
        <v>3681.53</v>
      </c>
      <c r="I929" s="4">
        <v>4076.96</v>
      </c>
      <c r="J929" t="s">
        <v>17</v>
      </c>
      <c r="K929" s="2">
        <v>0.17</v>
      </c>
      <c r="L929" t="s">
        <v>18</v>
      </c>
      <c r="M929" t="s">
        <v>22</v>
      </c>
      <c r="N929" t="s">
        <v>46</v>
      </c>
      <c r="O929" s="5">
        <f t="shared" si="14"/>
        <v>18585.209999999992</v>
      </c>
    </row>
    <row r="930" spans="1:15" x14ac:dyDescent="0.35">
      <c r="A930">
        <v>1042</v>
      </c>
      <c r="B930" s="1">
        <v>45130</v>
      </c>
      <c r="C930" t="s">
        <v>33</v>
      </c>
      <c r="D930" t="s">
        <v>21</v>
      </c>
      <c r="E930" s="4">
        <v>8417.07</v>
      </c>
      <c r="F930">
        <v>26</v>
      </c>
      <c r="G930" t="s">
        <v>35</v>
      </c>
      <c r="H930" s="4">
        <v>4208.09</v>
      </c>
      <c r="I930" s="4">
        <v>4226.5600000000004</v>
      </c>
      <c r="J930" t="s">
        <v>17</v>
      </c>
      <c r="K930" s="2">
        <v>0.28999999999999998</v>
      </c>
      <c r="L930" t="s">
        <v>18</v>
      </c>
      <c r="M930" t="s">
        <v>22</v>
      </c>
      <c r="N930" t="s">
        <v>37</v>
      </c>
      <c r="O930" s="5">
        <f t="shared" si="14"/>
        <v>480.22000000000662</v>
      </c>
    </row>
    <row r="931" spans="1:15" x14ac:dyDescent="0.35">
      <c r="A931">
        <v>1061</v>
      </c>
      <c r="B931" s="1">
        <v>45190</v>
      </c>
      <c r="C931" t="s">
        <v>33</v>
      </c>
      <c r="D931" t="s">
        <v>25</v>
      </c>
      <c r="E931" s="4">
        <v>9895.57</v>
      </c>
      <c r="F931">
        <v>25</v>
      </c>
      <c r="G931" t="s">
        <v>26</v>
      </c>
      <c r="H931" s="4">
        <v>2747.66</v>
      </c>
      <c r="I931" s="4">
        <v>3027.0099999999902</v>
      </c>
      <c r="J931" t="s">
        <v>30</v>
      </c>
      <c r="K931" s="2">
        <v>0.23</v>
      </c>
      <c r="L931" t="s">
        <v>18</v>
      </c>
      <c r="M931" t="s">
        <v>19</v>
      </c>
      <c r="N931" t="s">
        <v>44</v>
      </c>
      <c r="O931" s="5">
        <f t="shared" si="14"/>
        <v>6983.749999999759</v>
      </c>
    </row>
    <row r="932" spans="1:15" x14ac:dyDescent="0.35">
      <c r="A932">
        <v>1022</v>
      </c>
      <c r="B932" s="1">
        <v>45254</v>
      </c>
      <c r="C932" t="s">
        <v>38</v>
      </c>
      <c r="D932" t="s">
        <v>21</v>
      </c>
      <c r="E932" s="4">
        <v>8906.24</v>
      </c>
      <c r="F932">
        <v>29</v>
      </c>
      <c r="G932" t="s">
        <v>16</v>
      </c>
      <c r="H932" s="4">
        <v>479.58</v>
      </c>
      <c r="I932" s="4">
        <v>909.88</v>
      </c>
      <c r="J932" t="s">
        <v>17</v>
      </c>
      <c r="K932" s="2">
        <v>0.13</v>
      </c>
      <c r="L932" t="s">
        <v>31</v>
      </c>
      <c r="M932" t="s">
        <v>22</v>
      </c>
      <c r="N932" t="s">
        <v>41</v>
      </c>
      <c r="O932" s="5">
        <f t="shared" si="14"/>
        <v>12478.7</v>
      </c>
    </row>
    <row r="933" spans="1:15" x14ac:dyDescent="0.35">
      <c r="A933">
        <v>1021</v>
      </c>
      <c r="B933" s="1">
        <v>45104</v>
      </c>
      <c r="C933" t="s">
        <v>33</v>
      </c>
      <c r="D933" t="s">
        <v>15</v>
      </c>
      <c r="E933" s="4">
        <v>3777.53</v>
      </c>
      <c r="F933">
        <v>19</v>
      </c>
      <c r="G933" t="s">
        <v>35</v>
      </c>
      <c r="H933" s="4">
        <v>1222.4000000000001</v>
      </c>
      <c r="I933" s="4">
        <v>1464.71</v>
      </c>
      <c r="J933" t="s">
        <v>30</v>
      </c>
      <c r="K933" s="2">
        <v>0</v>
      </c>
      <c r="L933" t="s">
        <v>31</v>
      </c>
      <c r="M933" t="s">
        <v>22</v>
      </c>
      <c r="N933" t="s">
        <v>53</v>
      </c>
      <c r="O933" s="5">
        <f t="shared" si="14"/>
        <v>4603.8899999999994</v>
      </c>
    </row>
    <row r="934" spans="1:15" x14ac:dyDescent="0.35">
      <c r="A934">
        <v>1070</v>
      </c>
      <c r="B934" s="1">
        <v>45274</v>
      </c>
      <c r="C934" t="s">
        <v>33</v>
      </c>
      <c r="D934" t="s">
        <v>25</v>
      </c>
      <c r="E934" s="4">
        <v>2032.15</v>
      </c>
      <c r="F934">
        <v>33</v>
      </c>
      <c r="G934" t="s">
        <v>26</v>
      </c>
      <c r="H934" s="4">
        <v>866.42</v>
      </c>
      <c r="I934" s="4">
        <v>878.43</v>
      </c>
      <c r="J934" t="s">
        <v>30</v>
      </c>
      <c r="K934" s="2">
        <v>0.09</v>
      </c>
      <c r="L934" t="s">
        <v>18</v>
      </c>
      <c r="M934" t="s">
        <v>22</v>
      </c>
      <c r="N934" t="s">
        <v>44</v>
      </c>
      <c r="O934" s="5">
        <f t="shared" si="14"/>
        <v>396.3299999999997</v>
      </c>
    </row>
    <row r="935" spans="1:15" x14ac:dyDescent="0.35">
      <c r="A935">
        <v>1001</v>
      </c>
      <c r="B935" s="1">
        <v>45244</v>
      </c>
      <c r="C935" t="s">
        <v>24</v>
      </c>
      <c r="D935" t="s">
        <v>15</v>
      </c>
      <c r="E935" s="4">
        <v>4944.99</v>
      </c>
      <c r="F935">
        <v>36</v>
      </c>
      <c r="G935" t="s">
        <v>16</v>
      </c>
      <c r="H935" s="4">
        <v>666.84</v>
      </c>
      <c r="I935" s="4">
        <v>682.24</v>
      </c>
      <c r="J935" t="s">
        <v>30</v>
      </c>
      <c r="K935" s="2">
        <v>0.16</v>
      </c>
      <c r="L935" t="s">
        <v>27</v>
      </c>
      <c r="M935" t="s">
        <v>22</v>
      </c>
      <c r="N935" t="s">
        <v>45</v>
      </c>
      <c r="O935" s="5">
        <f t="shared" si="14"/>
        <v>554.39999999999918</v>
      </c>
    </row>
    <row r="936" spans="1:15" x14ac:dyDescent="0.35">
      <c r="A936">
        <v>1005</v>
      </c>
      <c r="B936" s="1">
        <v>45010</v>
      </c>
      <c r="C936" t="s">
        <v>14</v>
      </c>
      <c r="D936" t="s">
        <v>21</v>
      </c>
      <c r="E936" s="4">
        <v>7442.25</v>
      </c>
      <c r="F936">
        <v>14</v>
      </c>
      <c r="G936" t="s">
        <v>29</v>
      </c>
      <c r="H936" s="4">
        <v>1861.2</v>
      </c>
      <c r="I936" s="4">
        <v>2075.35</v>
      </c>
      <c r="J936" t="s">
        <v>17</v>
      </c>
      <c r="K936" s="2">
        <v>0.1</v>
      </c>
      <c r="L936" t="s">
        <v>31</v>
      </c>
      <c r="M936" t="s">
        <v>22</v>
      </c>
      <c r="N936" t="s">
        <v>23</v>
      </c>
      <c r="O936" s="5">
        <f t="shared" si="14"/>
        <v>2998.0999999999981</v>
      </c>
    </row>
    <row r="937" spans="1:15" x14ac:dyDescent="0.35">
      <c r="A937">
        <v>1090</v>
      </c>
      <c r="B937" s="1">
        <v>45037</v>
      </c>
      <c r="C937" t="s">
        <v>24</v>
      </c>
      <c r="D937" t="s">
        <v>21</v>
      </c>
      <c r="E937" s="4">
        <v>4883.49</v>
      </c>
      <c r="F937">
        <v>35</v>
      </c>
      <c r="G937" t="s">
        <v>35</v>
      </c>
      <c r="H937" s="4">
        <v>1130.5999999999999</v>
      </c>
      <c r="I937" s="4">
        <v>1466.1799999999901</v>
      </c>
      <c r="J937" t="s">
        <v>17</v>
      </c>
      <c r="K937" s="2">
        <v>0.13</v>
      </c>
      <c r="L937" t="s">
        <v>18</v>
      </c>
      <c r="M937" t="s">
        <v>19</v>
      </c>
      <c r="N937" t="s">
        <v>47</v>
      </c>
      <c r="O937" s="5">
        <f t="shared" si="14"/>
        <v>11745.299999999655</v>
      </c>
    </row>
    <row r="938" spans="1:15" x14ac:dyDescent="0.35">
      <c r="A938">
        <v>1046</v>
      </c>
      <c r="B938" s="1">
        <v>45177</v>
      </c>
      <c r="C938" t="s">
        <v>42</v>
      </c>
      <c r="D938" t="s">
        <v>15</v>
      </c>
      <c r="E938" s="4">
        <v>8398.48</v>
      </c>
      <c r="F938">
        <v>30</v>
      </c>
      <c r="G938" t="s">
        <v>16</v>
      </c>
      <c r="H938" s="4">
        <v>320.73</v>
      </c>
      <c r="I938" s="4">
        <v>678.04</v>
      </c>
      <c r="J938" t="s">
        <v>17</v>
      </c>
      <c r="K938" s="2">
        <v>0.08</v>
      </c>
      <c r="L938" t="s">
        <v>18</v>
      </c>
      <c r="M938" t="s">
        <v>22</v>
      </c>
      <c r="N938" t="s">
        <v>49</v>
      </c>
      <c r="O938" s="5">
        <f t="shared" si="14"/>
        <v>10719.3</v>
      </c>
    </row>
    <row r="939" spans="1:15" x14ac:dyDescent="0.35">
      <c r="A939">
        <v>1034</v>
      </c>
      <c r="B939" s="1">
        <v>44933</v>
      </c>
      <c r="C939" t="s">
        <v>24</v>
      </c>
      <c r="D939" t="s">
        <v>21</v>
      </c>
      <c r="E939" s="4">
        <v>3677.9</v>
      </c>
      <c r="F939">
        <v>28</v>
      </c>
      <c r="G939" t="s">
        <v>16</v>
      </c>
      <c r="H939" s="4">
        <v>137.47</v>
      </c>
      <c r="I939" s="4">
        <v>234.63</v>
      </c>
      <c r="J939" t="s">
        <v>30</v>
      </c>
      <c r="K939" s="2">
        <v>0.27</v>
      </c>
      <c r="L939" t="s">
        <v>27</v>
      </c>
      <c r="M939" t="s">
        <v>22</v>
      </c>
      <c r="N939" t="s">
        <v>47</v>
      </c>
      <c r="O939" s="5">
        <f t="shared" si="14"/>
        <v>2720.48</v>
      </c>
    </row>
    <row r="940" spans="1:15" x14ac:dyDescent="0.35">
      <c r="A940">
        <v>1049</v>
      </c>
      <c r="B940" s="1">
        <v>45010</v>
      </c>
      <c r="C940" t="s">
        <v>38</v>
      </c>
      <c r="D940" t="s">
        <v>34</v>
      </c>
      <c r="E940" s="4">
        <v>8611.9699999999993</v>
      </c>
      <c r="F940">
        <v>17</v>
      </c>
      <c r="G940" t="s">
        <v>35</v>
      </c>
      <c r="H940" s="4">
        <v>558.70000000000005</v>
      </c>
      <c r="I940" s="4">
        <v>1004.08</v>
      </c>
      <c r="J940" t="s">
        <v>17</v>
      </c>
      <c r="K940" s="2">
        <v>0.03</v>
      </c>
      <c r="L940" t="s">
        <v>31</v>
      </c>
      <c r="M940" t="s">
        <v>19</v>
      </c>
      <c r="N940" t="s">
        <v>48</v>
      </c>
      <c r="O940" s="5">
        <f t="shared" si="14"/>
        <v>7571.46</v>
      </c>
    </row>
    <row r="941" spans="1:15" x14ac:dyDescent="0.35">
      <c r="A941">
        <v>1078</v>
      </c>
      <c r="B941" s="1">
        <v>45134</v>
      </c>
      <c r="C941" t="s">
        <v>38</v>
      </c>
      <c r="D941" t="s">
        <v>15</v>
      </c>
      <c r="E941" s="4">
        <v>4127.37</v>
      </c>
      <c r="F941">
        <v>3</v>
      </c>
      <c r="G941" t="s">
        <v>29</v>
      </c>
      <c r="H941" s="4">
        <v>902.38</v>
      </c>
      <c r="I941" s="4">
        <v>1128.9100000000001</v>
      </c>
      <c r="J941" t="s">
        <v>30</v>
      </c>
      <c r="K941" s="2">
        <v>0.01</v>
      </c>
      <c r="L941" t="s">
        <v>27</v>
      </c>
      <c r="M941" t="s">
        <v>22</v>
      </c>
      <c r="N941" t="s">
        <v>40</v>
      </c>
      <c r="O941" s="5">
        <f t="shared" si="14"/>
        <v>679.59000000000026</v>
      </c>
    </row>
    <row r="942" spans="1:15" x14ac:dyDescent="0.35">
      <c r="A942">
        <v>1090</v>
      </c>
      <c r="B942" s="1">
        <v>45240</v>
      </c>
      <c r="C942" t="s">
        <v>42</v>
      </c>
      <c r="D942" t="s">
        <v>15</v>
      </c>
      <c r="E942" s="4">
        <v>3349.51</v>
      </c>
      <c r="F942">
        <v>16</v>
      </c>
      <c r="G942" t="s">
        <v>29</v>
      </c>
      <c r="H942" s="4">
        <v>2183.37</v>
      </c>
      <c r="I942" s="4">
        <v>2263.3599999999901</v>
      </c>
      <c r="J942" t="s">
        <v>17</v>
      </c>
      <c r="K942" s="2">
        <v>0</v>
      </c>
      <c r="L942" t="s">
        <v>27</v>
      </c>
      <c r="M942" t="s">
        <v>22</v>
      </c>
      <c r="N942" t="s">
        <v>49</v>
      </c>
      <c r="O942" s="5">
        <f t="shared" si="14"/>
        <v>1279.8399999998437</v>
      </c>
    </row>
    <row r="943" spans="1:15" x14ac:dyDescent="0.35">
      <c r="A943">
        <v>1045</v>
      </c>
      <c r="B943" s="1">
        <v>44948</v>
      </c>
      <c r="C943" t="s">
        <v>14</v>
      </c>
      <c r="D943" t="s">
        <v>34</v>
      </c>
      <c r="E943" s="4">
        <v>4594.5</v>
      </c>
      <c r="F943">
        <v>46</v>
      </c>
      <c r="G943" t="s">
        <v>26</v>
      </c>
      <c r="H943" s="4">
        <v>2577.08</v>
      </c>
      <c r="I943" s="4">
        <v>2961.56</v>
      </c>
      <c r="J943" t="s">
        <v>17</v>
      </c>
      <c r="K943" s="2">
        <v>0.1</v>
      </c>
      <c r="L943" t="s">
        <v>18</v>
      </c>
      <c r="M943" t="s">
        <v>19</v>
      </c>
      <c r="N943" t="s">
        <v>46</v>
      </c>
      <c r="O943" s="5">
        <f t="shared" si="14"/>
        <v>17686.080000000002</v>
      </c>
    </row>
    <row r="944" spans="1:15" x14ac:dyDescent="0.35">
      <c r="A944">
        <v>1027</v>
      </c>
      <c r="B944" s="1">
        <v>44929</v>
      </c>
      <c r="C944" t="s">
        <v>14</v>
      </c>
      <c r="D944" t="s">
        <v>34</v>
      </c>
      <c r="E944" s="4">
        <v>7648.22</v>
      </c>
      <c r="F944">
        <v>30</v>
      </c>
      <c r="G944" t="s">
        <v>16</v>
      </c>
      <c r="H944" s="4">
        <v>745.93</v>
      </c>
      <c r="I944" s="4">
        <v>1143.02</v>
      </c>
      <c r="J944" t="s">
        <v>17</v>
      </c>
      <c r="K944" s="2">
        <v>0.2</v>
      </c>
      <c r="L944" t="s">
        <v>31</v>
      </c>
      <c r="M944" t="s">
        <v>19</v>
      </c>
      <c r="N944" t="s">
        <v>46</v>
      </c>
      <c r="O944" s="5">
        <f t="shared" si="14"/>
        <v>11912.7</v>
      </c>
    </row>
    <row r="945" spans="1:15" x14ac:dyDescent="0.35">
      <c r="A945">
        <v>1073</v>
      </c>
      <c r="B945" s="1">
        <v>45053</v>
      </c>
      <c r="C945" t="s">
        <v>24</v>
      </c>
      <c r="D945" t="s">
        <v>15</v>
      </c>
      <c r="E945" s="4">
        <v>1347.42</v>
      </c>
      <c r="F945">
        <v>29</v>
      </c>
      <c r="G945" t="s">
        <v>29</v>
      </c>
      <c r="H945" s="4">
        <v>2152.6799999999998</v>
      </c>
      <c r="I945" s="4">
        <v>2475.9299999999998</v>
      </c>
      <c r="J945" t="s">
        <v>17</v>
      </c>
      <c r="K945" s="2">
        <v>0.22</v>
      </c>
      <c r="L945" t="s">
        <v>27</v>
      </c>
      <c r="M945" t="s">
        <v>19</v>
      </c>
      <c r="N945" t="s">
        <v>45</v>
      </c>
      <c r="O945" s="5">
        <f t="shared" si="14"/>
        <v>9374.25</v>
      </c>
    </row>
    <row r="946" spans="1:15" x14ac:dyDescent="0.35">
      <c r="A946">
        <v>1026</v>
      </c>
      <c r="B946" s="1">
        <v>45223</v>
      </c>
      <c r="C946" t="s">
        <v>24</v>
      </c>
      <c r="D946" t="s">
        <v>34</v>
      </c>
      <c r="E946" s="4">
        <v>2044.55</v>
      </c>
      <c r="F946">
        <v>45</v>
      </c>
      <c r="G946" t="s">
        <v>26</v>
      </c>
      <c r="H946" s="4">
        <v>1741.66</v>
      </c>
      <c r="I946" s="4">
        <v>2169.86</v>
      </c>
      <c r="J946" t="s">
        <v>17</v>
      </c>
      <c r="K946" s="2">
        <v>0.14000000000000001</v>
      </c>
      <c r="L946" t="s">
        <v>31</v>
      </c>
      <c r="M946" t="s">
        <v>19</v>
      </c>
      <c r="N946" t="s">
        <v>50</v>
      </c>
      <c r="O946" s="5">
        <f t="shared" si="14"/>
        <v>19269.000000000004</v>
      </c>
    </row>
    <row r="947" spans="1:15" x14ac:dyDescent="0.35">
      <c r="A947">
        <v>1047</v>
      </c>
      <c r="B947" s="1">
        <v>45114</v>
      </c>
      <c r="C947" t="s">
        <v>24</v>
      </c>
      <c r="D947" t="s">
        <v>25</v>
      </c>
      <c r="E947" s="4">
        <v>9519.2999999999993</v>
      </c>
      <c r="F947">
        <v>15</v>
      </c>
      <c r="G947" t="s">
        <v>29</v>
      </c>
      <c r="H947" s="4">
        <v>957.95</v>
      </c>
      <c r="I947" s="4">
        <v>1329.26</v>
      </c>
      <c r="J947" t="s">
        <v>30</v>
      </c>
      <c r="K947" s="2">
        <v>0.21</v>
      </c>
      <c r="L947" t="s">
        <v>18</v>
      </c>
      <c r="M947" t="s">
        <v>19</v>
      </c>
      <c r="N947" t="s">
        <v>28</v>
      </c>
      <c r="O947" s="5">
        <f t="shared" si="14"/>
        <v>5569.65</v>
      </c>
    </row>
    <row r="948" spans="1:15" x14ac:dyDescent="0.35">
      <c r="A948">
        <v>1086</v>
      </c>
      <c r="B948" s="1">
        <v>45288</v>
      </c>
      <c r="C948" t="s">
        <v>14</v>
      </c>
      <c r="D948" t="s">
        <v>21</v>
      </c>
      <c r="E948" s="4">
        <v>1837.37</v>
      </c>
      <c r="F948">
        <v>46</v>
      </c>
      <c r="G948" t="s">
        <v>16</v>
      </c>
      <c r="H948" s="4">
        <v>83.86</v>
      </c>
      <c r="I948" s="4">
        <v>526.14</v>
      </c>
      <c r="J948" t="s">
        <v>17</v>
      </c>
      <c r="K948" s="2">
        <v>0.11</v>
      </c>
      <c r="L948" t="s">
        <v>31</v>
      </c>
      <c r="M948" t="s">
        <v>19</v>
      </c>
      <c r="N948" t="s">
        <v>23</v>
      </c>
      <c r="O948" s="5">
        <f t="shared" si="14"/>
        <v>20344.879999999997</v>
      </c>
    </row>
    <row r="949" spans="1:15" x14ac:dyDescent="0.35">
      <c r="A949">
        <v>1056</v>
      </c>
      <c r="B949" s="1">
        <v>44940</v>
      </c>
      <c r="C949" t="s">
        <v>33</v>
      </c>
      <c r="D949" t="s">
        <v>21</v>
      </c>
      <c r="E949" s="4">
        <v>5720.5</v>
      </c>
      <c r="F949">
        <v>25</v>
      </c>
      <c r="G949" t="s">
        <v>26</v>
      </c>
      <c r="H949" s="4">
        <v>2361.7399999999998</v>
      </c>
      <c r="I949" s="4">
        <v>2584.35</v>
      </c>
      <c r="J949" t="s">
        <v>17</v>
      </c>
      <c r="K949" s="2">
        <v>0.2</v>
      </c>
      <c r="L949" t="s">
        <v>18</v>
      </c>
      <c r="M949" t="s">
        <v>19</v>
      </c>
      <c r="N949" t="s">
        <v>37</v>
      </c>
      <c r="O949" s="5">
        <f t="shared" si="14"/>
        <v>5565.2500000000036</v>
      </c>
    </row>
    <row r="950" spans="1:15" x14ac:dyDescent="0.35">
      <c r="A950">
        <v>1094</v>
      </c>
      <c r="B950" s="1">
        <v>44938</v>
      </c>
      <c r="C950" t="s">
        <v>38</v>
      </c>
      <c r="D950" t="s">
        <v>21</v>
      </c>
      <c r="E950" s="4">
        <v>5835.21</v>
      </c>
      <c r="F950">
        <v>38</v>
      </c>
      <c r="G950" t="s">
        <v>26</v>
      </c>
      <c r="H950" s="4">
        <v>3443.98</v>
      </c>
      <c r="I950" s="4">
        <v>3820.3</v>
      </c>
      <c r="J950" t="s">
        <v>17</v>
      </c>
      <c r="K950" s="2">
        <v>0.01</v>
      </c>
      <c r="L950" t="s">
        <v>31</v>
      </c>
      <c r="M950" t="s">
        <v>22</v>
      </c>
      <c r="N950" t="s">
        <v>41</v>
      </c>
      <c r="O950" s="5">
        <f t="shared" si="14"/>
        <v>14300.160000000007</v>
      </c>
    </row>
    <row r="951" spans="1:15" x14ac:dyDescent="0.35">
      <c r="A951">
        <v>1063</v>
      </c>
      <c r="B951" s="1">
        <v>45013</v>
      </c>
      <c r="C951" t="s">
        <v>33</v>
      </c>
      <c r="D951" t="s">
        <v>25</v>
      </c>
      <c r="E951" s="4">
        <v>4947.28</v>
      </c>
      <c r="F951">
        <v>42</v>
      </c>
      <c r="G951" t="s">
        <v>26</v>
      </c>
      <c r="H951" s="4">
        <v>1170.07</v>
      </c>
      <c r="I951" s="4">
        <v>1669.94999999999</v>
      </c>
      <c r="J951" t="s">
        <v>17</v>
      </c>
      <c r="K951" s="2">
        <v>0.12</v>
      </c>
      <c r="L951" t="s">
        <v>27</v>
      </c>
      <c r="M951" t="s">
        <v>22</v>
      </c>
      <c r="N951" t="s">
        <v>44</v>
      </c>
      <c r="O951" s="5">
        <f t="shared" si="14"/>
        <v>20994.959999999584</v>
      </c>
    </row>
    <row r="952" spans="1:15" x14ac:dyDescent="0.35">
      <c r="A952">
        <v>1048</v>
      </c>
      <c r="B952" s="1">
        <v>44938</v>
      </c>
      <c r="C952" t="s">
        <v>33</v>
      </c>
      <c r="D952" t="s">
        <v>34</v>
      </c>
      <c r="E952" s="4">
        <v>6482.98</v>
      </c>
      <c r="F952">
        <v>47</v>
      </c>
      <c r="G952" t="s">
        <v>29</v>
      </c>
      <c r="H952" s="4">
        <v>702.44</v>
      </c>
      <c r="I952" s="4">
        <v>1067.6600000000001</v>
      </c>
      <c r="J952" t="s">
        <v>30</v>
      </c>
      <c r="K952" s="2">
        <v>0.24</v>
      </c>
      <c r="L952" t="s">
        <v>18</v>
      </c>
      <c r="M952" t="s">
        <v>22</v>
      </c>
      <c r="N952" t="s">
        <v>36</v>
      </c>
      <c r="O952" s="5">
        <f t="shared" si="14"/>
        <v>17165.34</v>
      </c>
    </row>
    <row r="953" spans="1:15" x14ac:dyDescent="0.35">
      <c r="A953">
        <v>1061</v>
      </c>
      <c r="B953" s="1">
        <v>44951</v>
      </c>
      <c r="C953" t="s">
        <v>14</v>
      </c>
      <c r="D953" t="s">
        <v>34</v>
      </c>
      <c r="E953" s="4">
        <v>2375.2800000000002</v>
      </c>
      <c r="F953">
        <v>38</v>
      </c>
      <c r="G953" t="s">
        <v>16</v>
      </c>
      <c r="H953" s="4">
        <v>4440.8599999999997</v>
      </c>
      <c r="I953" s="4">
        <v>4506.8099999999904</v>
      </c>
      <c r="J953" t="s">
        <v>17</v>
      </c>
      <c r="K953" s="2">
        <v>0.24</v>
      </c>
      <c r="L953" t="s">
        <v>27</v>
      </c>
      <c r="M953" t="s">
        <v>19</v>
      </c>
      <c r="N953" t="s">
        <v>46</v>
      </c>
      <c r="O953" s="5">
        <f t="shared" si="14"/>
        <v>2506.0999999996475</v>
      </c>
    </row>
    <row r="954" spans="1:15" x14ac:dyDescent="0.35">
      <c r="A954">
        <v>1081</v>
      </c>
      <c r="B954" s="1">
        <v>45227</v>
      </c>
      <c r="C954" t="s">
        <v>33</v>
      </c>
      <c r="D954" t="s">
        <v>15</v>
      </c>
      <c r="E954" s="4">
        <v>5571.36</v>
      </c>
      <c r="F954">
        <v>23</v>
      </c>
      <c r="G954" t="s">
        <v>26</v>
      </c>
      <c r="H954" s="4">
        <v>1411.37</v>
      </c>
      <c r="I954" s="4">
        <v>1675.35</v>
      </c>
      <c r="J954" t="s">
        <v>30</v>
      </c>
      <c r="K954" s="2">
        <v>0.21</v>
      </c>
      <c r="L954" t="s">
        <v>18</v>
      </c>
      <c r="M954" t="s">
        <v>22</v>
      </c>
      <c r="N954" t="s">
        <v>53</v>
      </c>
      <c r="O954" s="5">
        <f t="shared" si="14"/>
        <v>6071.5400000000009</v>
      </c>
    </row>
    <row r="955" spans="1:15" x14ac:dyDescent="0.35">
      <c r="A955">
        <v>1026</v>
      </c>
      <c r="B955" s="1">
        <v>45169</v>
      </c>
      <c r="C955" t="s">
        <v>42</v>
      </c>
      <c r="D955" t="s">
        <v>34</v>
      </c>
      <c r="E955" s="4">
        <v>3784.52</v>
      </c>
      <c r="F955">
        <v>25</v>
      </c>
      <c r="G955" t="s">
        <v>35</v>
      </c>
      <c r="H955" s="4">
        <v>1156.8800000000001</v>
      </c>
      <c r="I955" s="4">
        <v>1454.68</v>
      </c>
      <c r="J955" t="s">
        <v>17</v>
      </c>
      <c r="K955" s="2">
        <v>0.06</v>
      </c>
      <c r="L955" t="s">
        <v>31</v>
      </c>
      <c r="M955" t="s">
        <v>19</v>
      </c>
      <c r="N955" t="s">
        <v>52</v>
      </c>
      <c r="O955" s="5">
        <f t="shared" si="14"/>
        <v>7444.9999999999991</v>
      </c>
    </row>
    <row r="956" spans="1:15" x14ac:dyDescent="0.35">
      <c r="A956">
        <v>1036</v>
      </c>
      <c r="B956" s="1">
        <v>45048</v>
      </c>
      <c r="C956" t="s">
        <v>24</v>
      </c>
      <c r="D956" t="s">
        <v>15</v>
      </c>
      <c r="E956" s="4">
        <v>6650.51</v>
      </c>
      <c r="F956">
        <v>42</v>
      </c>
      <c r="G956" t="s">
        <v>16</v>
      </c>
      <c r="H956" s="4">
        <v>4292.63</v>
      </c>
      <c r="I956" s="4">
        <v>4387.99</v>
      </c>
      <c r="J956" t="s">
        <v>30</v>
      </c>
      <c r="K956" s="2">
        <v>7.0000000000000007E-2</v>
      </c>
      <c r="L956" t="s">
        <v>31</v>
      </c>
      <c r="M956" t="s">
        <v>22</v>
      </c>
      <c r="N956" t="s">
        <v>45</v>
      </c>
      <c r="O956" s="5">
        <f t="shared" si="14"/>
        <v>4005.1199999999862</v>
      </c>
    </row>
    <row r="957" spans="1:15" x14ac:dyDescent="0.35">
      <c r="A957">
        <v>1001</v>
      </c>
      <c r="B957" s="1">
        <v>45073</v>
      </c>
      <c r="C957" t="s">
        <v>42</v>
      </c>
      <c r="D957" t="s">
        <v>25</v>
      </c>
      <c r="E957" s="4">
        <v>1498.11</v>
      </c>
      <c r="F957">
        <v>7</v>
      </c>
      <c r="G957" t="s">
        <v>35</v>
      </c>
      <c r="H957" s="4">
        <v>4094.68</v>
      </c>
      <c r="I957" s="4">
        <v>4576.5</v>
      </c>
      <c r="J957" t="s">
        <v>30</v>
      </c>
      <c r="K957" s="2">
        <v>0.3</v>
      </c>
      <c r="L957" t="s">
        <v>18</v>
      </c>
      <c r="M957" t="s">
        <v>22</v>
      </c>
      <c r="N957" t="s">
        <v>43</v>
      </c>
      <c r="O957" s="5">
        <f t="shared" si="14"/>
        <v>3372.7400000000011</v>
      </c>
    </row>
    <row r="958" spans="1:15" x14ac:dyDescent="0.35">
      <c r="A958">
        <v>1008</v>
      </c>
      <c r="B958" s="1">
        <v>44981</v>
      </c>
      <c r="C958" t="s">
        <v>38</v>
      </c>
      <c r="D958" t="s">
        <v>21</v>
      </c>
      <c r="E958" s="4">
        <v>5751.69</v>
      </c>
      <c r="F958">
        <v>22</v>
      </c>
      <c r="G958" t="s">
        <v>35</v>
      </c>
      <c r="H958" s="4">
        <v>2269.3200000000002</v>
      </c>
      <c r="I958" s="4">
        <v>2365.35</v>
      </c>
      <c r="J958" t="s">
        <v>30</v>
      </c>
      <c r="K958" s="2">
        <v>0.03</v>
      </c>
      <c r="L958" t="s">
        <v>18</v>
      </c>
      <c r="M958" t="s">
        <v>22</v>
      </c>
      <c r="N958" t="s">
        <v>41</v>
      </c>
      <c r="O958" s="5">
        <f t="shared" si="14"/>
        <v>2112.6599999999944</v>
      </c>
    </row>
    <row r="959" spans="1:15" x14ac:dyDescent="0.35">
      <c r="A959">
        <v>1099</v>
      </c>
      <c r="B959" s="1">
        <v>45164</v>
      </c>
      <c r="C959" t="s">
        <v>24</v>
      </c>
      <c r="D959" t="s">
        <v>21</v>
      </c>
      <c r="E959" s="4">
        <v>1934.18</v>
      </c>
      <c r="F959">
        <v>17</v>
      </c>
      <c r="G959" t="s">
        <v>26</v>
      </c>
      <c r="H959" s="4">
        <v>2471.73</v>
      </c>
      <c r="I959" s="4">
        <v>2568.73</v>
      </c>
      <c r="J959" t="s">
        <v>30</v>
      </c>
      <c r="K959" s="2">
        <v>0.05</v>
      </c>
      <c r="L959" t="s">
        <v>18</v>
      </c>
      <c r="M959" t="s">
        <v>22</v>
      </c>
      <c r="N959" t="s">
        <v>47</v>
      </c>
      <c r="O959" s="5">
        <f t="shared" si="14"/>
        <v>1649</v>
      </c>
    </row>
    <row r="960" spans="1:15" x14ac:dyDescent="0.35">
      <c r="A960">
        <v>1079</v>
      </c>
      <c r="B960" s="1">
        <v>45099</v>
      </c>
      <c r="C960" t="s">
        <v>38</v>
      </c>
      <c r="D960" t="s">
        <v>34</v>
      </c>
      <c r="E960" s="4">
        <v>2265.23</v>
      </c>
      <c r="F960">
        <v>49</v>
      </c>
      <c r="G960" t="s">
        <v>29</v>
      </c>
      <c r="H960" s="4">
        <v>437.59</v>
      </c>
      <c r="I960" s="4">
        <v>675.54</v>
      </c>
      <c r="J960" t="s">
        <v>17</v>
      </c>
      <c r="K960" s="2">
        <v>0.1</v>
      </c>
      <c r="L960" t="s">
        <v>18</v>
      </c>
      <c r="M960" t="s">
        <v>19</v>
      </c>
      <c r="N960" t="s">
        <v>48</v>
      </c>
      <c r="O960" s="5">
        <f t="shared" si="14"/>
        <v>11659.55</v>
      </c>
    </row>
    <row r="961" spans="1:15" x14ac:dyDescent="0.35">
      <c r="A961">
        <v>1047</v>
      </c>
      <c r="B961" s="1">
        <v>45147</v>
      </c>
      <c r="C961" t="s">
        <v>24</v>
      </c>
      <c r="D961" t="s">
        <v>15</v>
      </c>
      <c r="E961" s="4">
        <v>1910.09</v>
      </c>
      <c r="F961">
        <v>41</v>
      </c>
      <c r="G961" t="s">
        <v>29</v>
      </c>
      <c r="H961" s="4">
        <v>2888.49</v>
      </c>
      <c r="I961" s="4">
        <v>2929.45</v>
      </c>
      <c r="J961" t="s">
        <v>30</v>
      </c>
      <c r="K961" s="2">
        <v>0.06</v>
      </c>
      <c r="L961" t="s">
        <v>18</v>
      </c>
      <c r="M961" t="s">
        <v>22</v>
      </c>
      <c r="N961" t="s">
        <v>45</v>
      </c>
      <c r="O961" s="5">
        <f t="shared" si="14"/>
        <v>1679.3600000000015</v>
      </c>
    </row>
    <row r="962" spans="1:15" x14ac:dyDescent="0.35">
      <c r="A962">
        <v>1056</v>
      </c>
      <c r="B962" s="1">
        <v>45045</v>
      </c>
      <c r="C962" t="s">
        <v>33</v>
      </c>
      <c r="D962" t="s">
        <v>15</v>
      </c>
      <c r="E962" s="4">
        <v>8274.5400000000009</v>
      </c>
      <c r="F962">
        <v>10</v>
      </c>
      <c r="G962" t="s">
        <v>29</v>
      </c>
      <c r="H962" s="4">
        <v>536.80999999999995</v>
      </c>
      <c r="I962" s="4">
        <v>839.92</v>
      </c>
      <c r="J962" t="s">
        <v>17</v>
      </c>
      <c r="K962" s="2">
        <v>0.15</v>
      </c>
      <c r="L962" t="s">
        <v>27</v>
      </c>
      <c r="M962" t="s">
        <v>19</v>
      </c>
      <c r="N962" t="s">
        <v>53</v>
      </c>
      <c r="O962" s="5">
        <f t="shared" ref="O962:O1001" si="15">(I962-H962)*F962</f>
        <v>3031.1000000000004</v>
      </c>
    </row>
    <row r="963" spans="1:15" x14ac:dyDescent="0.35">
      <c r="A963">
        <v>1086</v>
      </c>
      <c r="B963" s="1">
        <v>45235</v>
      </c>
      <c r="C963" t="s">
        <v>42</v>
      </c>
      <c r="D963" t="s">
        <v>25</v>
      </c>
      <c r="E963" s="4">
        <v>2928.5</v>
      </c>
      <c r="F963">
        <v>10</v>
      </c>
      <c r="G963" t="s">
        <v>16</v>
      </c>
      <c r="H963" s="4">
        <v>2273.91</v>
      </c>
      <c r="I963" s="4">
        <v>2578.7999999999902</v>
      </c>
      <c r="J963" t="s">
        <v>30</v>
      </c>
      <c r="K963" s="2">
        <v>0.14000000000000001</v>
      </c>
      <c r="L963" t="s">
        <v>18</v>
      </c>
      <c r="M963" t="s">
        <v>19</v>
      </c>
      <c r="N963" t="s">
        <v>43</v>
      </c>
      <c r="O963" s="5">
        <f t="shared" si="15"/>
        <v>3048.8999999999032</v>
      </c>
    </row>
    <row r="964" spans="1:15" x14ac:dyDescent="0.35">
      <c r="A964">
        <v>1014</v>
      </c>
      <c r="B964" s="1">
        <v>45109</v>
      </c>
      <c r="C964" t="s">
        <v>24</v>
      </c>
      <c r="D964" t="s">
        <v>34</v>
      </c>
      <c r="E964" s="4">
        <v>9278.5300000000007</v>
      </c>
      <c r="F964">
        <v>7</v>
      </c>
      <c r="G964" t="s">
        <v>29</v>
      </c>
      <c r="H964" s="4">
        <v>4705.46</v>
      </c>
      <c r="I964" s="4">
        <v>4747.07</v>
      </c>
      <c r="J964" t="s">
        <v>30</v>
      </c>
      <c r="K964" s="2">
        <v>0.27</v>
      </c>
      <c r="L964" t="s">
        <v>27</v>
      </c>
      <c r="M964" t="s">
        <v>22</v>
      </c>
      <c r="N964" t="s">
        <v>50</v>
      </c>
      <c r="O964" s="5">
        <f t="shared" si="15"/>
        <v>291.26999999999771</v>
      </c>
    </row>
    <row r="965" spans="1:15" x14ac:dyDescent="0.35">
      <c r="A965">
        <v>1090</v>
      </c>
      <c r="B965" s="1">
        <v>45214</v>
      </c>
      <c r="C965" t="s">
        <v>33</v>
      </c>
      <c r="D965" t="s">
        <v>25</v>
      </c>
      <c r="E965" s="4">
        <v>9702.27</v>
      </c>
      <c r="F965">
        <v>48</v>
      </c>
      <c r="G965" t="s">
        <v>35</v>
      </c>
      <c r="H965" s="4">
        <v>4766.53</v>
      </c>
      <c r="I965" s="4">
        <v>5253.07</v>
      </c>
      <c r="J965" t="s">
        <v>17</v>
      </c>
      <c r="K965" s="2">
        <v>0.01</v>
      </c>
      <c r="L965" t="s">
        <v>27</v>
      </c>
      <c r="M965" t="s">
        <v>19</v>
      </c>
      <c r="N965" t="s">
        <v>44</v>
      </c>
      <c r="O965" s="5">
        <f t="shared" si="15"/>
        <v>23353.919999999998</v>
      </c>
    </row>
    <row r="966" spans="1:15" x14ac:dyDescent="0.35">
      <c r="A966">
        <v>1028</v>
      </c>
      <c r="B966" s="1">
        <v>45233</v>
      </c>
      <c r="C966" t="s">
        <v>42</v>
      </c>
      <c r="D966" t="s">
        <v>15</v>
      </c>
      <c r="E966" s="4">
        <v>5755.48</v>
      </c>
      <c r="F966">
        <v>38</v>
      </c>
      <c r="G966" t="s">
        <v>29</v>
      </c>
      <c r="H966" s="4">
        <v>1234.69</v>
      </c>
      <c r="I966" s="4">
        <v>1511.26</v>
      </c>
      <c r="J966" t="s">
        <v>30</v>
      </c>
      <c r="K966" s="2">
        <v>0.1</v>
      </c>
      <c r="L966" t="s">
        <v>27</v>
      </c>
      <c r="M966" t="s">
        <v>19</v>
      </c>
      <c r="N966" t="s">
        <v>49</v>
      </c>
      <c r="O966" s="5">
        <f t="shared" si="15"/>
        <v>10509.659999999998</v>
      </c>
    </row>
    <row r="967" spans="1:15" x14ac:dyDescent="0.35">
      <c r="A967">
        <v>1087</v>
      </c>
      <c r="B967" s="1">
        <v>45226</v>
      </c>
      <c r="C967" t="s">
        <v>38</v>
      </c>
      <c r="D967" t="s">
        <v>15</v>
      </c>
      <c r="E967" s="4">
        <v>1515.71</v>
      </c>
      <c r="F967">
        <v>27</v>
      </c>
      <c r="G967" t="s">
        <v>26</v>
      </c>
      <c r="H967" s="4">
        <v>3139.36</v>
      </c>
      <c r="I967" s="4">
        <v>3423.66</v>
      </c>
      <c r="J967" t="s">
        <v>30</v>
      </c>
      <c r="K967" s="2">
        <v>0.18</v>
      </c>
      <c r="L967" t="s">
        <v>31</v>
      </c>
      <c r="M967" t="s">
        <v>19</v>
      </c>
      <c r="N967" t="s">
        <v>40</v>
      </c>
      <c r="O967" s="5">
        <f t="shared" si="15"/>
        <v>7676.0999999999931</v>
      </c>
    </row>
    <row r="968" spans="1:15" x14ac:dyDescent="0.35">
      <c r="A968">
        <v>1078</v>
      </c>
      <c r="B968" s="1">
        <v>45008</v>
      </c>
      <c r="C968" t="s">
        <v>38</v>
      </c>
      <c r="D968" t="s">
        <v>21</v>
      </c>
      <c r="E968" s="4">
        <v>3808.03</v>
      </c>
      <c r="F968">
        <v>33</v>
      </c>
      <c r="G968" t="s">
        <v>29</v>
      </c>
      <c r="H968" s="4">
        <v>2396.6799999999998</v>
      </c>
      <c r="I968" s="4">
        <v>2661.54</v>
      </c>
      <c r="J968" t="s">
        <v>30</v>
      </c>
      <c r="K968" s="2">
        <v>0.18</v>
      </c>
      <c r="L968" t="s">
        <v>27</v>
      </c>
      <c r="M968" t="s">
        <v>19</v>
      </c>
      <c r="N968" t="s">
        <v>41</v>
      </c>
      <c r="O968" s="5">
        <f t="shared" si="15"/>
        <v>8740.3800000000047</v>
      </c>
    </row>
    <row r="969" spans="1:15" x14ac:dyDescent="0.35">
      <c r="A969">
        <v>1088</v>
      </c>
      <c r="B969" s="1">
        <v>45137</v>
      </c>
      <c r="C969" t="s">
        <v>38</v>
      </c>
      <c r="D969" t="s">
        <v>34</v>
      </c>
      <c r="E969" s="4">
        <v>7997.55</v>
      </c>
      <c r="F969">
        <v>1</v>
      </c>
      <c r="G969" t="s">
        <v>16</v>
      </c>
      <c r="H969" s="4">
        <v>4384.6400000000003</v>
      </c>
      <c r="I969" s="4">
        <v>4693.8999999999996</v>
      </c>
      <c r="J969" t="s">
        <v>30</v>
      </c>
      <c r="K969" s="2">
        <v>0.14000000000000001</v>
      </c>
      <c r="L969" t="s">
        <v>18</v>
      </c>
      <c r="M969" t="s">
        <v>22</v>
      </c>
      <c r="N969" t="s">
        <v>48</v>
      </c>
      <c r="O969" s="5">
        <f t="shared" si="15"/>
        <v>309.25999999999931</v>
      </c>
    </row>
    <row r="970" spans="1:15" x14ac:dyDescent="0.35">
      <c r="A970">
        <v>1026</v>
      </c>
      <c r="B970" s="1">
        <v>44963</v>
      </c>
      <c r="C970" t="s">
        <v>14</v>
      </c>
      <c r="D970" t="s">
        <v>21</v>
      </c>
      <c r="E970" s="4">
        <v>961.47</v>
      </c>
      <c r="F970">
        <v>34</v>
      </c>
      <c r="G970" t="s">
        <v>35</v>
      </c>
      <c r="H970" s="4">
        <v>68.33</v>
      </c>
      <c r="I970" s="4">
        <v>219.07999999999899</v>
      </c>
      <c r="J970" t="s">
        <v>30</v>
      </c>
      <c r="K970" s="2">
        <v>0.02</v>
      </c>
      <c r="L970" t="s">
        <v>31</v>
      </c>
      <c r="M970" t="s">
        <v>19</v>
      </c>
      <c r="N970" t="s">
        <v>23</v>
      </c>
      <c r="O970" s="5">
        <f t="shared" si="15"/>
        <v>5125.4999999999654</v>
      </c>
    </row>
    <row r="971" spans="1:15" x14ac:dyDescent="0.35">
      <c r="A971">
        <v>1014</v>
      </c>
      <c r="B971" s="1">
        <v>45278</v>
      </c>
      <c r="C971" t="s">
        <v>24</v>
      </c>
      <c r="D971" t="s">
        <v>34</v>
      </c>
      <c r="E971" s="4">
        <v>5612.17</v>
      </c>
      <c r="F971">
        <v>4</v>
      </c>
      <c r="G971" t="s">
        <v>16</v>
      </c>
      <c r="H971" s="4">
        <v>854.68</v>
      </c>
      <c r="I971" s="4">
        <v>1115.24</v>
      </c>
      <c r="J971" t="s">
        <v>30</v>
      </c>
      <c r="K971" s="2">
        <v>0.24</v>
      </c>
      <c r="L971" t="s">
        <v>31</v>
      </c>
      <c r="M971" t="s">
        <v>22</v>
      </c>
      <c r="N971" t="s">
        <v>50</v>
      </c>
      <c r="O971" s="5">
        <f t="shared" si="15"/>
        <v>1042.2400000000002</v>
      </c>
    </row>
    <row r="972" spans="1:15" x14ac:dyDescent="0.35">
      <c r="A972">
        <v>1059</v>
      </c>
      <c r="B972" s="1">
        <v>45238</v>
      </c>
      <c r="C972" t="s">
        <v>24</v>
      </c>
      <c r="D972" t="s">
        <v>25</v>
      </c>
      <c r="E972" s="4">
        <v>8466.7000000000007</v>
      </c>
      <c r="F972">
        <v>17</v>
      </c>
      <c r="G972" t="s">
        <v>29</v>
      </c>
      <c r="H972" s="4">
        <v>1780.14</v>
      </c>
      <c r="I972" s="4">
        <v>2185.42</v>
      </c>
      <c r="J972" t="s">
        <v>17</v>
      </c>
      <c r="K972" s="2">
        <v>0.15</v>
      </c>
      <c r="L972" t="s">
        <v>31</v>
      </c>
      <c r="M972" t="s">
        <v>22</v>
      </c>
      <c r="N972" t="s">
        <v>28</v>
      </c>
      <c r="O972" s="5">
        <f t="shared" si="15"/>
        <v>6889.7599999999993</v>
      </c>
    </row>
    <row r="973" spans="1:15" x14ac:dyDescent="0.35">
      <c r="A973">
        <v>1056</v>
      </c>
      <c r="B973" s="1">
        <v>45287</v>
      </c>
      <c r="C973" t="s">
        <v>14</v>
      </c>
      <c r="D973" t="s">
        <v>34</v>
      </c>
      <c r="E973" s="4">
        <v>7979.67</v>
      </c>
      <c r="F973">
        <v>4</v>
      </c>
      <c r="G973" t="s">
        <v>26</v>
      </c>
      <c r="H973" s="4">
        <v>1612.82</v>
      </c>
      <c r="I973" s="4">
        <v>1647.25</v>
      </c>
      <c r="J973" t="s">
        <v>17</v>
      </c>
      <c r="K973" s="2">
        <v>0.04</v>
      </c>
      <c r="L973" t="s">
        <v>31</v>
      </c>
      <c r="M973" t="s">
        <v>22</v>
      </c>
      <c r="N973" t="s">
        <v>46</v>
      </c>
      <c r="O973" s="5">
        <f t="shared" si="15"/>
        <v>137.72000000000025</v>
      </c>
    </row>
    <row r="974" spans="1:15" x14ac:dyDescent="0.35">
      <c r="A974">
        <v>1007</v>
      </c>
      <c r="B974" s="1">
        <v>44985</v>
      </c>
      <c r="C974" t="s">
        <v>33</v>
      </c>
      <c r="D974" t="s">
        <v>34</v>
      </c>
      <c r="E974" s="4">
        <v>1833.72</v>
      </c>
      <c r="F974">
        <v>43</v>
      </c>
      <c r="G974" t="s">
        <v>16</v>
      </c>
      <c r="H974" s="4">
        <v>3967.25</v>
      </c>
      <c r="I974" s="4">
        <v>4272.92</v>
      </c>
      <c r="J974" t="s">
        <v>30</v>
      </c>
      <c r="K974" s="2">
        <v>0.27</v>
      </c>
      <c r="L974" t="s">
        <v>31</v>
      </c>
      <c r="M974" t="s">
        <v>19</v>
      </c>
      <c r="N974" t="s">
        <v>36</v>
      </c>
      <c r="O974" s="5">
        <f t="shared" si="15"/>
        <v>13143.810000000003</v>
      </c>
    </row>
    <row r="975" spans="1:15" x14ac:dyDescent="0.35">
      <c r="A975">
        <v>1003</v>
      </c>
      <c r="B975" s="1">
        <v>45057</v>
      </c>
      <c r="C975" t="s">
        <v>33</v>
      </c>
      <c r="D975" t="s">
        <v>15</v>
      </c>
      <c r="E975" s="4">
        <v>6760.37</v>
      </c>
      <c r="F975">
        <v>26</v>
      </c>
      <c r="G975" t="s">
        <v>35</v>
      </c>
      <c r="H975" s="4">
        <v>3418.78</v>
      </c>
      <c r="I975" s="4">
        <v>3824.1</v>
      </c>
      <c r="J975" t="s">
        <v>30</v>
      </c>
      <c r="K975" s="2">
        <v>0.19</v>
      </c>
      <c r="L975" t="s">
        <v>31</v>
      </c>
      <c r="M975" t="s">
        <v>19</v>
      </c>
      <c r="N975" t="s">
        <v>53</v>
      </c>
      <c r="O975" s="5">
        <f t="shared" si="15"/>
        <v>10538.319999999992</v>
      </c>
    </row>
    <row r="976" spans="1:15" x14ac:dyDescent="0.35">
      <c r="A976">
        <v>1023</v>
      </c>
      <c r="B976" s="1">
        <v>45128</v>
      </c>
      <c r="C976" t="s">
        <v>38</v>
      </c>
      <c r="D976" t="s">
        <v>15</v>
      </c>
      <c r="E976" s="4">
        <v>2282.9899999999998</v>
      </c>
      <c r="F976">
        <v>4</v>
      </c>
      <c r="G976" t="s">
        <v>29</v>
      </c>
      <c r="H976" s="4">
        <v>1532.8</v>
      </c>
      <c r="I976" s="4">
        <v>1619.69</v>
      </c>
      <c r="J976" t="s">
        <v>17</v>
      </c>
      <c r="K976" s="2">
        <v>0.05</v>
      </c>
      <c r="L976" t="s">
        <v>27</v>
      </c>
      <c r="M976" t="s">
        <v>22</v>
      </c>
      <c r="N976" t="s">
        <v>40</v>
      </c>
      <c r="O976" s="5">
        <f t="shared" si="15"/>
        <v>347.5600000000004</v>
      </c>
    </row>
    <row r="977" spans="1:15" x14ac:dyDescent="0.35">
      <c r="A977">
        <v>1018</v>
      </c>
      <c r="B977" s="1">
        <v>45169</v>
      </c>
      <c r="C977" t="s">
        <v>42</v>
      </c>
      <c r="D977" t="s">
        <v>34</v>
      </c>
      <c r="E977" s="4">
        <v>2260.25</v>
      </c>
      <c r="F977">
        <v>1</v>
      </c>
      <c r="G977" t="s">
        <v>35</v>
      </c>
      <c r="H977" s="4">
        <v>2315.83</v>
      </c>
      <c r="I977" s="4">
        <v>2333.19</v>
      </c>
      <c r="J977" t="s">
        <v>30</v>
      </c>
      <c r="K977" s="2">
        <v>0.01</v>
      </c>
      <c r="L977" t="s">
        <v>18</v>
      </c>
      <c r="M977" t="s">
        <v>22</v>
      </c>
      <c r="N977" t="s">
        <v>52</v>
      </c>
      <c r="O977" s="5">
        <f t="shared" si="15"/>
        <v>17.360000000000127</v>
      </c>
    </row>
    <row r="978" spans="1:15" x14ac:dyDescent="0.35">
      <c r="A978">
        <v>1038</v>
      </c>
      <c r="B978" s="1">
        <v>44961</v>
      </c>
      <c r="C978" t="s">
        <v>33</v>
      </c>
      <c r="D978" t="s">
        <v>15</v>
      </c>
      <c r="E978" s="4">
        <v>8753.31</v>
      </c>
      <c r="F978">
        <v>7</v>
      </c>
      <c r="G978" t="s">
        <v>16</v>
      </c>
      <c r="H978" s="4">
        <v>523.02</v>
      </c>
      <c r="I978" s="4">
        <v>686.25</v>
      </c>
      <c r="J978" t="s">
        <v>17</v>
      </c>
      <c r="K978" s="2">
        <v>0.04</v>
      </c>
      <c r="L978" t="s">
        <v>18</v>
      </c>
      <c r="M978" t="s">
        <v>19</v>
      </c>
      <c r="N978" t="s">
        <v>53</v>
      </c>
      <c r="O978" s="5">
        <f t="shared" si="15"/>
        <v>1142.6100000000001</v>
      </c>
    </row>
    <row r="979" spans="1:15" x14ac:dyDescent="0.35">
      <c r="A979">
        <v>1099</v>
      </c>
      <c r="B979" s="1">
        <v>45019</v>
      </c>
      <c r="C979" t="s">
        <v>42</v>
      </c>
      <c r="D979" t="s">
        <v>15</v>
      </c>
      <c r="E979" s="4">
        <v>2571.7199999999998</v>
      </c>
      <c r="F979">
        <v>30</v>
      </c>
      <c r="G979" t="s">
        <v>16</v>
      </c>
      <c r="H979" s="4">
        <v>4495.82</v>
      </c>
      <c r="I979" s="4">
        <v>4794.0099999999902</v>
      </c>
      <c r="J979" t="s">
        <v>30</v>
      </c>
      <c r="K979" s="2">
        <v>0.18</v>
      </c>
      <c r="L979" t="s">
        <v>27</v>
      </c>
      <c r="M979" t="s">
        <v>22</v>
      </c>
      <c r="N979" t="s">
        <v>49</v>
      </c>
      <c r="O979" s="5">
        <f t="shared" si="15"/>
        <v>8945.6999999997151</v>
      </c>
    </row>
    <row r="980" spans="1:15" x14ac:dyDescent="0.35">
      <c r="A980">
        <v>1015</v>
      </c>
      <c r="B980" s="1">
        <v>45133</v>
      </c>
      <c r="C980" t="s">
        <v>24</v>
      </c>
      <c r="D980" t="s">
        <v>15</v>
      </c>
      <c r="E980" s="4">
        <v>2706.15</v>
      </c>
      <c r="F980">
        <v>9</v>
      </c>
      <c r="G980" t="s">
        <v>35</v>
      </c>
      <c r="H980" s="4">
        <v>4680.3500000000004</v>
      </c>
      <c r="I980" s="4">
        <v>4758.1099999999997</v>
      </c>
      <c r="J980" t="s">
        <v>17</v>
      </c>
      <c r="K980" s="2">
        <v>0.05</v>
      </c>
      <c r="L980" t="s">
        <v>27</v>
      </c>
      <c r="M980" t="s">
        <v>19</v>
      </c>
      <c r="N980" t="s">
        <v>45</v>
      </c>
      <c r="O980" s="5">
        <f t="shared" si="15"/>
        <v>699.83999999999378</v>
      </c>
    </row>
    <row r="981" spans="1:15" x14ac:dyDescent="0.35">
      <c r="A981">
        <v>1064</v>
      </c>
      <c r="B981" s="1">
        <v>45279</v>
      </c>
      <c r="C981" t="s">
        <v>42</v>
      </c>
      <c r="D981" t="s">
        <v>21</v>
      </c>
      <c r="E981" s="4">
        <v>106.47</v>
      </c>
      <c r="F981">
        <v>35</v>
      </c>
      <c r="G981" t="s">
        <v>29</v>
      </c>
      <c r="H981" s="4">
        <v>4900.03</v>
      </c>
      <c r="I981" s="4">
        <v>5118.83</v>
      </c>
      <c r="J981" t="s">
        <v>17</v>
      </c>
      <c r="K981" s="2">
        <v>7.0000000000000007E-2</v>
      </c>
      <c r="L981" t="s">
        <v>31</v>
      </c>
      <c r="M981" t="s">
        <v>22</v>
      </c>
      <c r="N981" t="s">
        <v>51</v>
      </c>
      <c r="O981" s="5">
        <f t="shared" si="15"/>
        <v>7658.0000000000064</v>
      </c>
    </row>
    <row r="982" spans="1:15" x14ac:dyDescent="0.35">
      <c r="A982">
        <v>1089</v>
      </c>
      <c r="B982" s="1">
        <v>45258</v>
      </c>
      <c r="C982" t="s">
        <v>24</v>
      </c>
      <c r="D982" t="s">
        <v>21</v>
      </c>
      <c r="E982" s="4">
        <v>8719.6200000000008</v>
      </c>
      <c r="F982">
        <v>8</v>
      </c>
      <c r="G982" t="s">
        <v>16</v>
      </c>
      <c r="H982" s="4">
        <v>4349.34</v>
      </c>
      <c r="I982" s="4">
        <v>4629.9799999999996</v>
      </c>
      <c r="J982" t="s">
        <v>17</v>
      </c>
      <c r="K982" s="2">
        <v>0.01</v>
      </c>
      <c r="L982" t="s">
        <v>31</v>
      </c>
      <c r="M982" t="s">
        <v>19</v>
      </c>
      <c r="N982" t="s">
        <v>47</v>
      </c>
      <c r="O982" s="5">
        <f t="shared" si="15"/>
        <v>2245.1199999999953</v>
      </c>
    </row>
    <row r="983" spans="1:15" x14ac:dyDescent="0.35">
      <c r="A983">
        <v>1028</v>
      </c>
      <c r="B983" s="1">
        <v>45231</v>
      </c>
      <c r="C983" t="s">
        <v>14</v>
      </c>
      <c r="D983" t="s">
        <v>34</v>
      </c>
      <c r="E983" s="4">
        <v>7946.69</v>
      </c>
      <c r="F983">
        <v>24</v>
      </c>
      <c r="G983" t="s">
        <v>26</v>
      </c>
      <c r="H983" s="4">
        <v>911.11</v>
      </c>
      <c r="I983" s="4">
        <v>1214.56</v>
      </c>
      <c r="J983" t="s">
        <v>30</v>
      </c>
      <c r="K983" s="2">
        <v>0.22</v>
      </c>
      <c r="L983" t="s">
        <v>27</v>
      </c>
      <c r="M983" t="s">
        <v>19</v>
      </c>
      <c r="N983" t="s">
        <v>46</v>
      </c>
      <c r="O983" s="5">
        <f t="shared" si="15"/>
        <v>7282.7999999999984</v>
      </c>
    </row>
    <row r="984" spans="1:15" x14ac:dyDescent="0.35">
      <c r="A984">
        <v>1074</v>
      </c>
      <c r="B984" s="1">
        <v>45276</v>
      </c>
      <c r="C984" t="s">
        <v>14</v>
      </c>
      <c r="D984" t="s">
        <v>15</v>
      </c>
      <c r="E984" s="4">
        <v>6310.56</v>
      </c>
      <c r="F984">
        <v>19</v>
      </c>
      <c r="G984" t="s">
        <v>16</v>
      </c>
      <c r="H984" s="4">
        <v>278.67</v>
      </c>
      <c r="I984" s="4">
        <v>423.13</v>
      </c>
      <c r="J984" t="s">
        <v>30</v>
      </c>
      <c r="K984" s="2">
        <v>0.24</v>
      </c>
      <c r="L984" t="s">
        <v>31</v>
      </c>
      <c r="M984" t="s">
        <v>19</v>
      </c>
      <c r="N984" t="s">
        <v>20</v>
      </c>
      <c r="O984" s="5">
        <f t="shared" si="15"/>
        <v>2744.74</v>
      </c>
    </row>
    <row r="985" spans="1:15" x14ac:dyDescent="0.35">
      <c r="A985">
        <v>1039</v>
      </c>
      <c r="B985" s="1">
        <v>45139</v>
      </c>
      <c r="C985" t="s">
        <v>38</v>
      </c>
      <c r="D985" t="s">
        <v>21</v>
      </c>
      <c r="E985" s="4">
        <v>7527.63</v>
      </c>
      <c r="F985">
        <v>36</v>
      </c>
      <c r="G985" t="s">
        <v>29</v>
      </c>
      <c r="H985" s="4">
        <v>2919</v>
      </c>
      <c r="I985" s="4">
        <v>3125.01</v>
      </c>
      <c r="J985" t="s">
        <v>30</v>
      </c>
      <c r="K985" s="2">
        <v>0.24</v>
      </c>
      <c r="L985" t="s">
        <v>18</v>
      </c>
      <c r="M985" t="s">
        <v>19</v>
      </c>
      <c r="N985" t="s">
        <v>41</v>
      </c>
      <c r="O985" s="5">
        <f t="shared" si="15"/>
        <v>7416.3600000000079</v>
      </c>
    </row>
    <row r="986" spans="1:15" x14ac:dyDescent="0.35">
      <c r="A986">
        <v>1057</v>
      </c>
      <c r="B986" s="1">
        <v>45085</v>
      </c>
      <c r="C986" t="s">
        <v>33</v>
      </c>
      <c r="D986" t="s">
        <v>34</v>
      </c>
      <c r="E986" s="4">
        <v>1605.28</v>
      </c>
      <c r="F986">
        <v>43</v>
      </c>
      <c r="G986" t="s">
        <v>16</v>
      </c>
      <c r="H986" s="4">
        <v>4567.3900000000003</v>
      </c>
      <c r="I986" s="4">
        <v>4958.78</v>
      </c>
      <c r="J986" t="s">
        <v>30</v>
      </c>
      <c r="K986" s="2">
        <v>0.04</v>
      </c>
      <c r="L986" t="s">
        <v>18</v>
      </c>
      <c r="M986" t="s">
        <v>22</v>
      </c>
      <c r="N986" t="s">
        <v>36</v>
      </c>
      <c r="O986" s="5">
        <f t="shared" si="15"/>
        <v>16829.769999999975</v>
      </c>
    </row>
    <row r="987" spans="1:15" x14ac:dyDescent="0.35">
      <c r="A987">
        <v>1017</v>
      </c>
      <c r="B987" s="1">
        <v>44950</v>
      </c>
      <c r="C987" t="s">
        <v>38</v>
      </c>
      <c r="D987" t="s">
        <v>15</v>
      </c>
      <c r="E987" s="4">
        <v>4637.3999999999996</v>
      </c>
      <c r="F987">
        <v>27</v>
      </c>
      <c r="G987" t="s">
        <v>35</v>
      </c>
      <c r="H987" s="4">
        <v>927.89</v>
      </c>
      <c r="I987" s="4">
        <v>1399.09</v>
      </c>
      <c r="J987" t="s">
        <v>17</v>
      </c>
      <c r="K987" s="2">
        <v>0.27</v>
      </c>
      <c r="L987" t="s">
        <v>31</v>
      </c>
      <c r="M987" t="s">
        <v>19</v>
      </c>
      <c r="N987" t="s">
        <v>40</v>
      </c>
      <c r="O987" s="5">
        <f t="shared" si="15"/>
        <v>12722.399999999998</v>
      </c>
    </row>
    <row r="988" spans="1:15" x14ac:dyDescent="0.35">
      <c r="A988">
        <v>1086</v>
      </c>
      <c r="B988" s="1">
        <v>45219</v>
      </c>
      <c r="C988" t="s">
        <v>24</v>
      </c>
      <c r="D988" t="s">
        <v>25</v>
      </c>
      <c r="E988" s="4">
        <v>3577.07</v>
      </c>
      <c r="F988">
        <v>32</v>
      </c>
      <c r="G988" t="s">
        <v>16</v>
      </c>
      <c r="H988" s="4">
        <v>84.86</v>
      </c>
      <c r="I988" s="4">
        <v>517.17999999999995</v>
      </c>
      <c r="J988" t="s">
        <v>17</v>
      </c>
      <c r="K988" s="2">
        <v>0.2</v>
      </c>
      <c r="L988" t="s">
        <v>31</v>
      </c>
      <c r="M988" t="s">
        <v>22</v>
      </c>
      <c r="N988" t="s">
        <v>28</v>
      </c>
      <c r="O988" s="5">
        <f t="shared" si="15"/>
        <v>13834.239999999998</v>
      </c>
    </row>
    <row r="989" spans="1:15" x14ac:dyDescent="0.35">
      <c r="A989">
        <v>1090</v>
      </c>
      <c r="B989" s="1">
        <v>44930</v>
      </c>
      <c r="C989" t="s">
        <v>38</v>
      </c>
      <c r="D989" t="s">
        <v>15</v>
      </c>
      <c r="E989" s="4">
        <v>1028.3900000000001</v>
      </c>
      <c r="F989">
        <v>14</v>
      </c>
      <c r="G989" t="s">
        <v>16</v>
      </c>
      <c r="H989" s="4">
        <v>4037.21</v>
      </c>
      <c r="I989" s="4">
        <v>4323.71</v>
      </c>
      <c r="J989" t="s">
        <v>17</v>
      </c>
      <c r="K989" s="2">
        <v>0.27</v>
      </c>
      <c r="L989" t="s">
        <v>31</v>
      </c>
      <c r="M989" t="s">
        <v>19</v>
      </c>
      <c r="N989" t="s">
        <v>40</v>
      </c>
      <c r="O989" s="5">
        <f t="shared" si="15"/>
        <v>4011</v>
      </c>
    </row>
    <row r="990" spans="1:15" x14ac:dyDescent="0.35">
      <c r="A990">
        <v>1044</v>
      </c>
      <c r="B990" s="1">
        <v>45146</v>
      </c>
      <c r="C990" t="s">
        <v>42</v>
      </c>
      <c r="D990" t="s">
        <v>15</v>
      </c>
      <c r="E990" s="4">
        <v>4912.6899999999996</v>
      </c>
      <c r="F990">
        <v>18</v>
      </c>
      <c r="G990" t="s">
        <v>29</v>
      </c>
      <c r="H990" s="4">
        <v>430.14</v>
      </c>
      <c r="I990" s="4">
        <v>641.17999999999995</v>
      </c>
      <c r="J990" t="s">
        <v>30</v>
      </c>
      <c r="K990" s="2">
        <v>0.13</v>
      </c>
      <c r="L990" t="s">
        <v>18</v>
      </c>
      <c r="M990" t="s">
        <v>19</v>
      </c>
      <c r="N990" t="s">
        <v>49</v>
      </c>
      <c r="O990" s="5">
        <f t="shared" si="15"/>
        <v>3798.7199999999993</v>
      </c>
    </row>
    <row r="991" spans="1:15" x14ac:dyDescent="0.35">
      <c r="A991">
        <v>1025</v>
      </c>
      <c r="B991" s="1">
        <v>45290</v>
      </c>
      <c r="C991" t="s">
        <v>24</v>
      </c>
      <c r="D991" t="s">
        <v>21</v>
      </c>
      <c r="E991" s="4">
        <v>9215.32</v>
      </c>
      <c r="F991">
        <v>28</v>
      </c>
      <c r="G991" t="s">
        <v>35</v>
      </c>
      <c r="H991" s="4">
        <v>2097.84</v>
      </c>
      <c r="I991" s="4">
        <v>2270.9899999999998</v>
      </c>
      <c r="J991" t="s">
        <v>30</v>
      </c>
      <c r="K991" s="2">
        <v>0.13</v>
      </c>
      <c r="L991" t="s">
        <v>31</v>
      </c>
      <c r="M991" t="s">
        <v>22</v>
      </c>
      <c r="N991" t="s">
        <v>47</v>
      </c>
      <c r="O991" s="5">
        <f t="shared" si="15"/>
        <v>4848.1999999999898</v>
      </c>
    </row>
    <row r="992" spans="1:15" x14ac:dyDescent="0.35">
      <c r="A992">
        <v>1017</v>
      </c>
      <c r="B992" s="1">
        <v>44946</v>
      </c>
      <c r="C992" t="s">
        <v>14</v>
      </c>
      <c r="D992" t="s">
        <v>34</v>
      </c>
      <c r="E992" s="4">
        <v>496.59</v>
      </c>
      <c r="F992">
        <v>29</v>
      </c>
      <c r="G992" t="s">
        <v>29</v>
      </c>
      <c r="H992" s="4">
        <v>3410.49</v>
      </c>
      <c r="I992" s="4">
        <v>3481.72</v>
      </c>
      <c r="J992" t="s">
        <v>30</v>
      </c>
      <c r="K992" s="2">
        <v>0.24</v>
      </c>
      <c r="L992" t="s">
        <v>27</v>
      </c>
      <c r="M992" t="s">
        <v>22</v>
      </c>
      <c r="N992" t="s">
        <v>46</v>
      </c>
      <c r="O992" s="5">
        <f t="shared" si="15"/>
        <v>2065.6700000000005</v>
      </c>
    </row>
    <row r="993" spans="1:15" x14ac:dyDescent="0.35">
      <c r="A993">
        <v>1013</v>
      </c>
      <c r="B993" s="1">
        <v>45078</v>
      </c>
      <c r="C993" t="s">
        <v>33</v>
      </c>
      <c r="D993" t="s">
        <v>34</v>
      </c>
      <c r="E993" s="4">
        <v>2985.46</v>
      </c>
      <c r="F993">
        <v>16</v>
      </c>
      <c r="G993" t="s">
        <v>16</v>
      </c>
      <c r="H993" s="4">
        <v>1222.1500000000001</v>
      </c>
      <c r="I993" s="4">
        <v>1284.3599999999999</v>
      </c>
      <c r="J993" t="s">
        <v>17</v>
      </c>
      <c r="K993" s="2">
        <v>0.03</v>
      </c>
      <c r="L993" t="s">
        <v>31</v>
      </c>
      <c r="M993" t="s">
        <v>22</v>
      </c>
      <c r="N993" t="s">
        <v>36</v>
      </c>
      <c r="O993" s="5">
        <f t="shared" si="15"/>
        <v>995.35999999999694</v>
      </c>
    </row>
    <row r="994" spans="1:15" x14ac:dyDescent="0.35">
      <c r="A994">
        <v>1084</v>
      </c>
      <c r="B994" s="1">
        <v>44976</v>
      </c>
      <c r="C994" t="s">
        <v>24</v>
      </c>
      <c r="D994" t="s">
        <v>21</v>
      </c>
      <c r="E994" s="4">
        <v>2154.66</v>
      </c>
      <c r="F994">
        <v>35</v>
      </c>
      <c r="G994" t="s">
        <v>26</v>
      </c>
      <c r="H994" s="4">
        <v>465.61</v>
      </c>
      <c r="I994" s="4">
        <v>812.91</v>
      </c>
      <c r="J994" t="s">
        <v>30</v>
      </c>
      <c r="K994" s="2">
        <v>0.16</v>
      </c>
      <c r="L994" t="s">
        <v>27</v>
      </c>
      <c r="M994" t="s">
        <v>19</v>
      </c>
      <c r="N994" t="s">
        <v>47</v>
      </c>
      <c r="O994" s="5">
        <f t="shared" si="15"/>
        <v>12155.499999999998</v>
      </c>
    </row>
    <row r="995" spans="1:15" x14ac:dyDescent="0.35">
      <c r="A995">
        <v>1025</v>
      </c>
      <c r="B995" s="1">
        <v>45103</v>
      </c>
      <c r="C995" t="s">
        <v>24</v>
      </c>
      <c r="D995" t="s">
        <v>15</v>
      </c>
      <c r="E995" s="4">
        <v>2457.65</v>
      </c>
      <c r="F995">
        <v>47</v>
      </c>
      <c r="G995" t="s">
        <v>16</v>
      </c>
      <c r="H995" s="4">
        <v>3861.61</v>
      </c>
      <c r="I995" s="4">
        <v>3998.91</v>
      </c>
      <c r="J995" t="s">
        <v>30</v>
      </c>
      <c r="K995" s="2">
        <v>0.25</v>
      </c>
      <c r="L995" t="s">
        <v>31</v>
      </c>
      <c r="M995" t="s">
        <v>19</v>
      </c>
      <c r="N995" t="s">
        <v>45</v>
      </c>
      <c r="O995" s="5">
        <f t="shared" si="15"/>
        <v>6453.0999999999876</v>
      </c>
    </row>
    <row r="996" spans="1:15" x14ac:dyDescent="0.35">
      <c r="A996">
        <v>1068</v>
      </c>
      <c r="B996" s="1">
        <v>45022</v>
      </c>
      <c r="C996" t="s">
        <v>42</v>
      </c>
      <c r="D996" t="s">
        <v>25</v>
      </c>
      <c r="E996" s="4">
        <v>9093.5</v>
      </c>
      <c r="F996">
        <v>31</v>
      </c>
      <c r="G996" t="s">
        <v>29</v>
      </c>
      <c r="H996" s="4">
        <v>3169.37</v>
      </c>
      <c r="I996" s="4">
        <v>3304.15</v>
      </c>
      <c r="J996" t="s">
        <v>17</v>
      </c>
      <c r="K996" s="2">
        <v>0.25</v>
      </c>
      <c r="L996" t="s">
        <v>31</v>
      </c>
      <c r="M996" t="s">
        <v>22</v>
      </c>
      <c r="N996" t="s">
        <v>43</v>
      </c>
      <c r="O996" s="5">
        <f t="shared" si="15"/>
        <v>4178.1800000000057</v>
      </c>
    </row>
    <row r="997" spans="1:15" x14ac:dyDescent="0.35">
      <c r="A997">
        <v>1010</v>
      </c>
      <c r="B997" s="1">
        <v>45031</v>
      </c>
      <c r="C997" t="s">
        <v>33</v>
      </c>
      <c r="D997" t="s">
        <v>15</v>
      </c>
      <c r="E997" s="4">
        <v>4733.88</v>
      </c>
      <c r="F997">
        <v>4</v>
      </c>
      <c r="G997" t="s">
        <v>26</v>
      </c>
      <c r="H997" s="4">
        <v>4943.03</v>
      </c>
      <c r="I997" s="4">
        <v>5442.15</v>
      </c>
      <c r="J997" t="s">
        <v>17</v>
      </c>
      <c r="K997" s="2">
        <v>0.28999999999999998</v>
      </c>
      <c r="L997" t="s">
        <v>18</v>
      </c>
      <c r="M997" t="s">
        <v>19</v>
      </c>
      <c r="N997" t="s">
        <v>53</v>
      </c>
      <c r="O997" s="5">
        <f t="shared" si="15"/>
        <v>1996.4799999999996</v>
      </c>
    </row>
    <row r="998" spans="1:15" x14ac:dyDescent="0.35">
      <c r="A998">
        <v>1067</v>
      </c>
      <c r="B998" s="1">
        <v>45176</v>
      </c>
      <c r="C998" t="s">
        <v>14</v>
      </c>
      <c r="D998" t="s">
        <v>15</v>
      </c>
      <c r="E998" s="4">
        <v>4716.3599999999997</v>
      </c>
      <c r="F998">
        <v>37</v>
      </c>
      <c r="G998" t="s">
        <v>29</v>
      </c>
      <c r="H998" s="4">
        <v>1754.32</v>
      </c>
      <c r="I998" s="4">
        <v>1856.3999999999901</v>
      </c>
      <c r="J998" t="s">
        <v>30</v>
      </c>
      <c r="K998" s="2">
        <v>0.21</v>
      </c>
      <c r="L998" t="s">
        <v>27</v>
      </c>
      <c r="M998" t="s">
        <v>22</v>
      </c>
      <c r="N998" t="s">
        <v>20</v>
      </c>
      <c r="O998" s="5">
        <f t="shared" si="15"/>
        <v>3776.9599999996353</v>
      </c>
    </row>
    <row r="999" spans="1:15" x14ac:dyDescent="0.35">
      <c r="A999">
        <v>1018</v>
      </c>
      <c r="B999" s="1">
        <v>45043</v>
      </c>
      <c r="C999" t="s">
        <v>24</v>
      </c>
      <c r="D999" t="s">
        <v>25</v>
      </c>
      <c r="E999" s="4">
        <v>7629.7</v>
      </c>
      <c r="F999">
        <v>17</v>
      </c>
      <c r="G999" t="s">
        <v>29</v>
      </c>
      <c r="H999" s="4">
        <v>355.72</v>
      </c>
      <c r="I999" s="4">
        <v>438.27</v>
      </c>
      <c r="J999" t="s">
        <v>17</v>
      </c>
      <c r="K999" s="2">
        <v>0.06</v>
      </c>
      <c r="L999" t="s">
        <v>27</v>
      </c>
      <c r="M999" t="s">
        <v>19</v>
      </c>
      <c r="N999" t="s">
        <v>28</v>
      </c>
      <c r="O999" s="5">
        <f t="shared" si="15"/>
        <v>1403.3499999999992</v>
      </c>
    </row>
    <row r="1000" spans="1:15" x14ac:dyDescent="0.35">
      <c r="A1000">
        <v>1100</v>
      </c>
      <c r="B1000" s="1">
        <v>45280</v>
      </c>
      <c r="C1000" t="s">
        <v>24</v>
      </c>
      <c r="D1000" t="s">
        <v>21</v>
      </c>
      <c r="E1000" s="4">
        <v>1629.47</v>
      </c>
      <c r="F1000">
        <v>39</v>
      </c>
      <c r="G1000" t="s">
        <v>35</v>
      </c>
      <c r="H1000" s="4">
        <v>3685.03</v>
      </c>
      <c r="I1000" s="4">
        <v>3743.39</v>
      </c>
      <c r="J1000" t="s">
        <v>30</v>
      </c>
      <c r="K1000" s="2">
        <v>0.01</v>
      </c>
      <c r="L1000" t="s">
        <v>27</v>
      </c>
      <c r="M1000" t="s">
        <v>19</v>
      </c>
      <c r="N1000" t="s">
        <v>47</v>
      </c>
      <c r="O1000" s="5">
        <f t="shared" si="15"/>
        <v>2276.0399999999872</v>
      </c>
    </row>
    <row r="1001" spans="1:15" x14ac:dyDescent="0.35">
      <c r="A1001">
        <v>1086</v>
      </c>
      <c r="B1001" s="1">
        <v>45154</v>
      </c>
      <c r="C1001" t="s">
        <v>42</v>
      </c>
      <c r="D1001" t="s">
        <v>34</v>
      </c>
      <c r="E1001" s="4">
        <v>4923.93</v>
      </c>
      <c r="F1001">
        <v>48</v>
      </c>
      <c r="G1001" t="s">
        <v>26</v>
      </c>
      <c r="H1001" s="4">
        <v>2632.58</v>
      </c>
      <c r="I1001" s="4">
        <v>2926.68</v>
      </c>
      <c r="J1001" t="s">
        <v>17</v>
      </c>
      <c r="K1001" s="2">
        <v>0.14000000000000001</v>
      </c>
      <c r="L1001" t="s">
        <v>18</v>
      </c>
      <c r="M1001" t="s">
        <v>19</v>
      </c>
      <c r="N1001" t="s">
        <v>52</v>
      </c>
      <c r="O1001" s="5">
        <f t="shared" si="15"/>
        <v>14116.799999999996</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7B3FA-1421-4779-95BC-BEC54FD8556F}">
  <dimension ref="A1:E113"/>
  <sheetViews>
    <sheetView zoomScale="102" workbookViewId="0">
      <selection activeCell="J106" sqref="J106"/>
    </sheetView>
  </sheetViews>
  <sheetFormatPr defaultRowHeight="14.5" x14ac:dyDescent="0.35"/>
  <cols>
    <col min="1" max="1" width="12.36328125" bestFit="1" customWidth="1"/>
    <col min="2" max="2" width="15.90625" bestFit="1" customWidth="1"/>
    <col min="3" max="4" width="11.1796875" bestFit="1" customWidth="1"/>
    <col min="5" max="5" width="10.7265625" bestFit="1" customWidth="1"/>
    <col min="6" max="6" width="10.81640625" bestFit="1" customWidth="1"/>
    <col min="7" max="7" width="12" bestFit="1" customWidth="1"/>
    <col min="8" max="8" width="12.453125" bestFit="1" customWidth="1"/>
    <col min="9" max="9" width="12" bestFit="1" customWidth="1"/>
    <col min="10" max="10" width="6.453125" bestFit="1" customWidth="1"/>
    <col min="11" max="11" width="12" bestFit="1" customWidth="1"/>
    <col min="12" max="12" width="12.453125" bestFit="1" customWidth="1"/>
    <col min="13" max="13" width="12" bestFit="1" customWidth="1"/>
    <col min="14" max="14" width="12.453125" bestFit="1" customWidth="1"/>
    <col min="15" max="15" width="12" bestFit="1" customWidth="1"/>
    <col min="16" max="16" width="10.36328125" bestFit="1" customWidth="1"/>
    <col min="17" max="17" width="12" bestFit="1" customWidth="1"/>
    <col min="18" max="18" width="12.453125" bestFit="1" customWidth="1"/>
    <col min="19" max="19" width="12" bestFit="1" customWidth="1"/>
    <col min="20" max="20" width="12.453125" bestFit="1" customWidth="1"/>
    <col min="21" max="21" width="12" bestFit="1" customWidth="1"/>
    <col min="22" max="22" width="6.453125" bestFit="1" customWidth="1"/>
    <col min="23" max="23" width="12" bestFit="1" customWidth="1"/>
    <col min="24" max="24" width="6.453125" bestFit="1" customWidth="1"/>
    <col min="25" max="25" width="12" bestFit="1" customWidth="1"/>
    <col min="26" max="26" width="12.453125" bestFit="1" customWidth="1"/>
    <col min="27" max="27" width="12" bestFit="1" customWidth="1"/>
    <col min="28" max="28" width="10.36328125" bestFit="1" customWidth="1"/>
    <col min="29" max="29" width="12" bestFit="1" customWidth="1"/>
    <col min="30" max="30" width="10.36328125" bestFit="1" customWidth="1"/>
    <col min="31" max="31" width="12" bestFit="1" customWidth="1"/>
    <col min="32" max="32" width="10.36328125" bestFit="1" customWidth="1"/>
    <col min="33" max="33" width="12" bestFit="1" customWidth="1"/>
    <col min="34" max="34" width="6.453125" bestFit="1" customWidth="1"/>
    <col min="35" max="35" width="12" bestFit="1" customWidth="1"/>
    <col min="36" max="36" width="12.453125" bestFit="1" customWidth="1"/>
    <col min="37" max="37" width="12" bestFit="1" customWidth="1"/>
    <col min="38" max="38" width="10.36328125" bestFit="1" customWidth="1"/>
    <col min="39" max="39" width="12" bestFit="1" customWidth="1"/>
    <col min="40" max="40" width="10.36328125" bestFit="1" customWidth="1"/>
    <col min="41" max="41" width="12" bestFit="1" customWidth="1"/>
    <col min="42" max="42" width="6.453125" bestFit="1" customWidth="1"/>
    <col min="43" max="43" width="12" bestFit="1" customWidth="1"/>
    <col min="44" max="44" width="6.453125" bestFit="1" customWidth="1"/>
    <col min="45" max="45" width="12" bestFit="1" customWidth="1"/>
    <col min="46" max="46" width="10.36328125" bestFit="1" customWidth="1"/>
    <col min="47" max="47" width="12" bestFit="1" customWidth="1"/>
    <col min="48" max="48" width="10.36328125" bestFit="1" customWidth="1"/>
    <col min="49" max="49" width="12" bestFit="1" customWidth="1"/>
    <col min="50" max="50" width="12.453125" bestFit="1" customWidth="1"/>
    <col min="51" max="51" width="12" bestFit="1" customWidth="1"/>
    <col min="52" max="52" width="12.453125" bestFit="1" customWidth="1"/>
    <col min="53" max="53" width="12" bestFit="1" customWidth="1"/>
    <col min="54" max="54" width="12.453125" bestFit="1" customWidth="1"/>
    <col min="55" max="55" width="12" bestFit="1" customWidth="1"/>
    <col min="56" max="56" width="10.36328125" bestFit="1" customWidth="1"/>
    <col min="57" max="57" width="12" bestFit="1" customWidth="1"/>
    <col min="58" max="58" width="10.36328125" bestFit="1" customWidth="1"/>
    <col min="59" max="59" width="12" bestFit="1" customWidth="1"/>
    <col min="60" max="60" width="10.36328125" bestFit="1" customWidth="1"/>
    <col min="61" max="61" width="12" bestFit="1" customWidth="1"/>
    <col min="62" max="62" width="10.36328125" bestFit="1" customWidth="1"/>
    <col min="63" max="63" width="12" bestFit="1" customWidth="1"/>
    <col min="64" max="64" width="10.36328125" bestFit="1" customWidth="1"/>
    <col min="65" max="65" width="12" bestFit="1" customWidth="1"/>
    <col min="66" max="66" width="6.453125" bestFit="1" customWidth="1"/>
    <col min="67" max="67" width="12" bestFit="1" customWidth="1"/>
    <col min="68" max="68" width="6.453125" bestFit="1" customWidth="1"/>
    <col min="69" max="69" width="12" bestFit="1" customWidth="1"/>
    <col min="70" max="70" width="12.453125" bestFit="1" customWidth="1"/>
    <col min="71" max="71" width="12" bestFit="1" customWidth="1"/>
    <col min="72" max="72" width="6.453125" bestFit="1" customWidth="1"/>
    <col min="73" max="73" width="12" bestFit="1" customWidth="1"/>
    <col min="74" max="74" width="6.453125" bestFit="1" customWidth="1"/>
    <col min="75" max="75" width="12" bestFit="1" customWidth="1"/>
    <col min="76" max="76" width="10.36328125" bestFit="1" customWidth="1"/>
    <col min="77" max="77" width="12" bestFit="1" customWidth="1"/>
    <col min="78" max="78" width="10.36328125" bestFit="1" customWidth="1"/>
    <col min="79" max="79" width="12" bestFit="1" customWidth="1"/>
    <col min="80" max="80" width="10.36328125" bestFit="1" customWidth="1"/>
    <col min="81" max="81" width="12" bestFit="1" customWidth="1"/>
    <col min="82" max="82" width="10.36328125" bestFit="1" customWidth="1"/>
    <col min="83" max="83" width="12" bestFit="1" customWidth="1"/>
    <col min="84" max="84" width="12.453125" bestFit="1" customWidth="1"/>
    <col min="85" max="85" width="12" bestFit="1" customWidth="1"/>
    <col min="86" max="86" width="10.36328125" bestFit="1" customWidth="1"/>
    <col min="87" max="87" width="12" bestFit="1" customWidth="1"/>
    <col min="88" max="88" width="12.453125" bestFit="1" customWidth="1"/>
    <col min="89" max="89" width="12" bestFit="1" customWidth="1"/>
    <col min="90" max="90" width="6.453125" bestFit="1" customWidth="1"/>
    <col min="91" max="91" width="12" bestFit="1" customWidth="1"/>
    <col min="92" max="92" width="6.453125" bestFit="1" customWidth="1"/>
    <col min="93" max="93" width="12" bestFit="1" customWidth="1"/>
    <col min="94" max="94" width="12.453125" bestFit="1" customWidth="1"/>
    <col min="95" max="95" width="12" bestFit="1" customWidth="1"/>
    <col min="96" max="96" width="10.36328125" bestFit="1" customWidth="1"/>
    <col min="97" max="97" width="12" bestFit="1" customWidth="1"/>
    <col min="98" max="98" width="6.453125" bestFit="1" customWidth="1"/>
    <col min="99" max="99" width="12" bestFit="1" customWidth="1"/>
    <col min="100" max="100" width="12.453125" bestFit="1" customWidth="1"/>
    <col min="101" max="101" width="12" bestFit="1" customWidth="1"/>
    <col min="102" max="102" width="6.453125" bestFit="1" customWidth="1"/>
    <col min="103" max="103" width="12" bestFit="1" customWidth="1"/>
    <col min="104" max="104" width="10.36328125" bestFit="1" customWidth="1"/>
    <col min="105" max="105" width="12" bestFit="1" customWidth="1"/>
    <col min="106" max="106" width="6.453125" bestFit="1" customWidth="1"/>
    <col min="107" max="107" width="12" bestFit="1" customWidth="1"/>
    <col min="108" max="108" width="12.453125" bestFit="1" customWidth="1"/>
    <col min="109" max="109" width="12" bestFit="1" customWidth="1"/>
    <col min="110" max="110" width="10.36328125" bestFit="1" customWidth="1"/>
    <col min="111" max="111" width="12" bestFit="1" customWidth="1"/>
    <col min="112" max="112" width="10.36328125" bestFit="1" customWidth="1"/>
    <col min="113" max="113" width="12" bestFit="1" customWidth="1"/>
    <col min="114" max="114" width="6.453125" bestFit="1" customWidth="1"/>
    <col min="115" max="115" width="12" bestFit="1" customWidth="1"/>
    <col min="116" max="116" width="12.453125" bestFit="1" customWidth="1"/>
    <col min="117" max="117" width="12" bestFit="1" customWidth="1"/>
    <col min="118" max="118" width="12.453125" bestFit="1" customWidth="1"/>
    <col min="119" max="119" width="12" bestFit="1" customWidth="1"/>
    <col min="120" max="120" width="12.453125" bestFit="1" customWidth="1"/>
    <col min="121" max="121" width="12" bestFit="1" customWidth="1"/>
    <col min="122" max="122" width="6.453125" bestFit="1" customWidth="1"/>
    <col min="123" max="123" width="12" bestFit="1" customWidth="1"/>
    <col min="124" max="124" width="10.36328125" bestFit="1" customWidth="1"/>
    <col min="125" max="125" width="12" bestFit="1" customWidth="1"/>
    <col min="126" max="126" width="6.453125" bestFit="1" customWidth="1"/>
    <col min="127" max="127" width="12" bestFit="1" customWidth="1"/>
    <col min="128" max="128" width="10.36328125" bestFit="1" customWidth="1"/>
    <col min="129" max="129" width="12" bestFit="1" customWidth="1"/>
    <col min="130" max="130" width="12.453125" bestFit="1" customWidth="1"/>
    <col min="131" max="131" width="12" bestFit="1" customWidth="1"/>
    <col min="132" max="132" width="12.453125" bestFit="1" customWidth="1"/>
    <col min="133" max="133" width="12" bestFit="1" customWidth="1"/>
    <col min="134" max="134" width="12.453125" bestFit="1" customWidth="1"/>
    <col min="135" max="135" width="12" bestFit="1" customWidth="1"/>
    <col min="136" max="136" width="6.453125" bestFit="1" customWidth="1"/>
    <col min="137" max="137" width="12" bestFit="1" customWidth="1"/>
    <col min="138" max="138" width="12.453125" bestFit="1" customWidth="1"/>
    <col min="139" max="139" width="12" bestFit="1" customWidth="1"/>
    <col min="140" max="140" width="12.453125" bestFit="1" customWidth="1"/>
    <col min="141" max="141" width="12" bestFit="1" customWidth="1"/>
    <col min="142" max="142" width="6.453125" bestFit="1" customWidth="1"/>
    <col min="143" max="143" width="12" bestFit="1" customWidth="1"/>
    <col min="144" max="144" width="12.453125" bestFit="1" customWidth="1"/>
    <col min="145" max="145" width="12" bestFit="1" customWidth="1"/>
    <col min="146" max="146" width="10.36328125" bestFit="1" customWidth="1"/>
    <col min="147" max="147" width="12" bestFit="1" customWidth="1"/>
    <col min="148" max="148" width="6.453125" bestFit="1" customWidth="1"/>
    <col min="149" max="149" width="12" bestFit="1" customWidth="1"/>
    <col min="150" max="150" width="12.453125" bestFit="1" customWidth="1"/>
    <col min="151" max="151" width="12" bestFit="1" customWidth="1"/>
    <col min="152" max="152" width="10.36328125" bestFit="1" customWidth="1"/>
    <col min="153" max="153" width="12" bestFit="1" customWidth="1"/>
    <col min="154" max="154" width="6.453125" bestFit="1" customWidth="1"/>
    <col min="155" max="155" width="12" bestFit="1" customWidth="1"/>
    <col min="156" max="156" width="12.453125" bestFit="1" customWidth="1"/>
    <col min="157" max="157" width="12" bestFit="1" customWidth="1"/>
    <col min="158" max="158" width="10.36328125" bestFit="1" customWidth="1"/>
    <col min="159" max="159" width="12" bestFit="1" customWidth="1"/>
    <col min="160" max="160" width="6.453125" bestFit="1" customWidth="1"/>
    <col min="161" max="161" width="12" bestFit="1" customWidth="1"/>
    <col min="162" max="162" width="12.453125" bestFit="1" customWidth="1"/>
    <col min="163" max="163" width="12" bestFit="1" customWidth="1"/>
    <col min="164" max="164" width="10.36328125" bestFit="1" customWidth="1"/>
    <col min="165" max="165" width="12" bestFit="1" customWidth="1"/>
    <col min="166" max="166" width="6.453125" bestFit="1" customWidth="1"/>
    <col min="167" max="167" width="12" bestFit="1" customWidth="1"/>
    <col min="168" max="168" width="10.36328125" bestFit="1" customWidth="1"/>
    <col min="169" max="169" width="12" bestFit="1" customWidth="1"/>
    <col min="170" max="170" width="6.453125" bestFit="1" customWidth="1"/>
    <col min="171" max="171" width="12" bestFit="1" customWidth="1"/>
    <col min="172" max="172" width="10.36328125" bestFit="1" customWidth="1"/>
    <col min="173" max="173" width="12" bestFit="1" customWidth="1"/>
    <col min="174" max="174" width="12.453125" bestFit="1" customWidth="1"/>
    <col min="175" max="175" width="12" bestFit="1" customWidth="1"/>
    <col min="176" max="176" width="12.453125" bestFit="1" customWidth="1"/>
    <col min="177" max="177" width="12" bestFit="1" customWidth="1"/>
    <col min="178" max="178" width="10.36328125" bestFit="1" customWidth="1"/>
    <col min="179" max="179" width="12" bestFit="1" customWidth="1"/>
    <col min="180" max="180" width="6.453125" bestFit="1" customWidth="1"/>
    <col min="181" max="181" width="12" bestFit="1" customWidth="1"/>
    <col min="182" max="182" width="10.36328125" bestFit="1" customWidth="1"/>
    <col min="183" max="183" width="12" bestFit="1" customWidth="1"/>
    <col min="184" max="184" width="10.36328125" bestFit="1" customWidth="1"/>
    <col min="185" max="185" width="12" bestFit="1" customWidth="1"/>
    <col min="186" max="186" width="12.453125" bestFit="1" customWidth="1"/>
    <col min="187" max="187" width="12" bestFit="1" customWidth="1"/>
    <col min="188" max="188" width="6.453125" bestFit="1" customWidth="1"/>
    <col min="189" max="189" width="12" bestFit="1" customWidth="1"/>
    <col min="190" max="190" width="10.36328125" bestFit="1" customWidth="1"/>
    <col min="191" max="191" width="12" bestFit="1" customWidth="1"/>
    <col min="192" max="192" width="6.453125" bestFit="1" customWidth="1"/>
    <col min="193" max="193" width="12" bestFit="1" customWidth="1"/>
    <col min="194" max="194" width="8" bestFit="1" customWidth="1"/>
    <col min="195" max="195" width="13.54296875" bestFit="1" customWidth="1"/>
    <col min="196" max="196" width="12.453125" bestFit="1" customWidth="1"/>
    <col min="197" max="197" width="13.54296875" bestFit="1" customWidth="1"/>
    <col min="198" max="198" width="8" bestFit="1" customWidth="1"/>
    <col min="199" max="199" width="13.54296875" bestFit="1" customWidth="1"/>
    <col min="200" max="200" width="10.36328125" bestFit="1" customWidth="1"/>
    <col min="201" max="201" width="13.54296875" bestFit="1" customWidth="1"/>
    <col min="202" max="202" width="10.36328125" bestFit="1" customWidth="1"/>
    <col min="203" max="203" width="13.54296875" bestFit="1" customWidth="1"/>
    <col min="204" max="204" width="12.453125" bestFit="1" customWidth="1"/>
    <col min="205" max="205" width="13.54296875" bestFit="1" customWidth="1"/>
    <col min="206" max="206" width="10.36328125" bestFit="1" customWidth="1"/>
    <col min="207" max="207" width="13.54296875" bestFit="1" customWidth="1"/>
    <col min="208" max="208" width="10.36328125" bestFit="1" customWidth="1"/>
    <col min="209" max="209" width="13.54296875" bestFit="1" customWidth="1"/>
    <col min="210" max="210" width="8" bestFit="1" customWidth="1"/>
    <col min="211" max="211" width="13.54296875" bestFit="1" customWidth="1"/>
    <col min="212" max="212" width="12.453125" bestFit="1" customWidth="1"/>
    <col min="213" max="213" width="13.54296875" bestFit="1" customWidth="1"/>
    <col min="214" max="214" width="8" bestFit="1" customWidth="1"/>
    <col min="215" max="215" width="13.54296875" bestFit="1" customWidth="1"/>
    <col min="216" max="216" width="12.453125" bestFit="1" customWidth="1"/>
    <col min="217" max="217" width="13.54296875" bestFit="1" customWidth="1"/>
    <col min="218" max="218" width="8" bestFit="1" customWidth="1"/>
    <col min="219" max="219" width="13.54296875" bestFit="1" customWidth="1"/>
    <col min="220" max="220" width="8" bestFit="1" customWidth="1"/>
    <col min="221" max="221" width="13.54296875" bestFit="1" customWidth="1"/>
    <col min="222" max="222" width="12.453125" bestFit="1" customWidth="1"/>
    <col min="223" max="223" width="13.54296875" bestFit="1" customWidth="1"/>
    <col min="224" max="224" width="12.453125" bestFit="1" customWidth="1"/>
    <col min="225" max="225" width="13.54296875" bestFit="1" customWidth="1"/>
    <col min="226" max="226" width="10.36328125" bestFit="1" customWidth="1"/>
    <col min="227" max="227" width="13.54296875" bestFit="1" customWidth="1"/>
    <col min="228" max="228" width="8" bestFit="1" customWidth="1"/>
    <col min="229" max="229" width="13.54296875" bestFit="1" customWidth="1"/>
    <col min="230" max="230" width="12.453125" bestFit="1" customWidth="1"/>
    <col min="231" max="231" width="13.54296875" bestFit="1" customWidth="1"/>
    <col min="232" max="232" width="8" bestFit="1" customWidth="1"/>
    <col min="233" max="233" width="13.54296875" bestFit="1" customWidth="1"/>
    <col min="234" max="234" width="10.36328125" bestFit="1" customWidth="1"/>
    <col min="235" max="235" width="13.54296875" bestFit="1" customWidth="1"/>
    <col min="236" max="236" width="12.453125" bestFit="1" customWidth="1"/>
    <col min="237" max="237" width="13.54296875" bestFit="1" customWidth="1"/>
    <col min="238" max="238" width="8" bestFit="1" customWidth="1"/>
    <col min="239" max="239" width="13.54296875" bestFit="1" customWidth="1"/>
    <col min="240" max="240" width="10.36328125" bestFit="1" customWidth="1"/>
    <col min="241" max="241" width="13.54296875" bestFit="1" customWidth="1"/>
    <col min="242" max="242" width="10.36328125" bestFit="1" customWidth="1"/>
    <col min="243" max="243" width="13.54296875" bestFit="1" customWidth="1"/>
    <col min="244" max="244" width="12.453125" bestFit="1" customWidth="1"/>
    <col min="245" max="245" width="13.54296875" bestFit="1" customWidth="1"/>
    <col min="246" max="246" width="8" bestFit="1" customWidth="1"/>
    <col min="247" max="247" width="13.54296875" bestFit="1" customWidth="1"/>
    <col min="248" max="248" width="8" bestFit="1" customWidth="1"/>
    <col min="249" max="249" width="13.54296875" bestFit="1" customWidth="1"/>
    <col min="250" max="250" width="8" bestFit="1" customWidth="1"/>
    <col min="251" max="251" width="13.54296875" bestFit="1" customWidth="1"/>
    <col min="252" max="252" width="10.36328125" bestFit="1" customWidth="1"/>
    <col min="253" max="253" width="13.54296875" bestFit="1" customWidth="1"/>
    <col min="254" max="254" width="8" bestFit="1" customWidth="1"/>
    <col min="255" max="255" width="13.54296875" bestFit="1" customWidth="1"/>
    <col min="256" max="256" width="8" bestFit="1" customWidth="1"/>
    <col min="257" max="257" width="13.54296875" bestFit="1" customWidth="1"/>
    <col min="258" max="258" width="12.453125" bestFit="1" customWidth="1"/>
    <col min="259" max="259" width="13.54296875" bestFit="1" customWidth="1"/>
    <col min="260" max="260" width="10.36328125" bestFit="1" customWidth="1"/>
    <col min="261" max="261" width="13.54296875" bestFit="1" customWidth="1"/>
    <col min="262" max="262" width="8" bestFit="1" customWidth="1"/>
    <col min="263" max="263" width="13.54296875" bestFit="1" customWidth="1"/>
    <col min="264" max="264" width="8" bestFit="1" customWidth="1"/>
    <col min="265" max="265" width="13.54296875" bestFit="1" customWidth="1"/>
    <col min="266" max="266" width="8" bestFit="1" customWidth="1"/>
    <col min="267" max="267" width="13.54296875" bestFit="1" customWidth="1"/>
    <col min="268" max="268" width="10.36328125" bestFit="1" customWidth="1"/>
    <col min="269" max="269" width="13.54296875" bestFit="1" customWidth="1"/>
    <col min="270" max="270" width="10.36328125" bestFit="1" customWidth="1"/>
    <col min="271" max="271" width="13.54296875" bestFit="1" customWidth="1"/>
    <col min="272" max="272" width="12.453125" bestFit="1" customWidth="1"/>
    <col min="273" max="273" width="13.54296875" bestFit="1" customWidth="1"/>
    <col min="274" max="274" width="10.36328125" bestFit="1" customWidth="1"/>
    <col min="275" max="275" width="13.54296875" bestFit="1" customWidth="1"/>
    <col min="276" max="276" width="12.453125" bestFit="1" customWidth="1"/>
    <col min="277" max="277" width="13.54296875" bestFit="1" customWidth="1"/>
    <col min="278" max="278" width="12.453125" bestFit="1" customWidth="1"/>
    <col min="279" max="279" width="13.54296875" bestFit="1" customWidth="1"/>
    <col min="280" max="280" width="12.453125" bestFit="1" customWidth="1"/>
    <col min="281" max="281" width="13.54296875" bestFit="1" customWidth="1"/>
    <col min="282" max="282" width="8" bestFit="1" customWidth="1"/>
    <col min="283" max="283" width="13.54296875" bestFit="1" customWidth="1"/>
    <col min="284" max="284" width="8" bestFit="1" customWidth="1"/>
    <col min="285" max="285" width="13.54296875" bestFit="1" customWidth="1"/>
    <col min="286" max="286" width="12.453125" bestFit="1" customWidth="1"/>
    <col min="287" max="287" width="13.54296875" bestFit="1" customWidth="1"/>
    <col min="288" max="288" width="12.453125" bestFit="1" customWidth="1"/>
    <col min="289" max="289" width="13.54296875" bestFit="1" customWidth="1"/>
    <col min="290" max="290" width="10.36328125" bestFit="1" customWidth="1"/>
    <col min="291" max="291" width="13.54296875" bestFit="1" customWidth="1"/>
    <col min="292" max="292" width="12.453125" bestFit="1" customWidth="1"/>
    <col min="293" max="293" width="13.54296875" bestFit="1" customWidth="1"/>
    <col min="294" max="294" width="10.36328125" bestFit="1" customWidth="1"/>
    <col min="295" max="295" width="13.54296875" bestFit="1" customWidth="1"/>
    <col min="296" max="296" width="8" bestFit="1" customWidth="1"/>
    <col min="297" max="297" width="13.54296875" bestFit="1" customWidth="1"/>
    <col min="298" max="298" width="12.453125" bestFit="1" customWidth="1"/>
    <col min="299" max="299" width="13.54296875" bestFit="1" customWidth="1"/>
    <col min="300" max="300" width="10.36328125" bestFit="1" customWidth="1"/>
    <col min="301" max="301" width="13.54296875" bestFit="1" customWidth="1"/>
    <col min="302" max="302" width="8" bestFit="1" customWidth="1"/>
    <col min="303" max="303" width="13.54296875" bestFit="1" customWidth="1"/>
    <col min="304" max="304" width="12.453125" bestFit="1" customWidth="1"/>
    <col min="305" max="305" width="13.54296875" bestFit="1" customWidth="1"/>
    <col min="306" max="306" width="12.453125" bestFit="1" customWidth="1"/>
    <col min="307" max="307" width="13.54296875" bestFit="1" customWidth="1"/>
    <col min="308" max="308" width="12.453125" bestFit="1" customWidth="1"/>
    <col min="309" max="309" width="13.54296875" bestFit="1" customWidth="1"/>
    <col min="310" max="310" width="8" bestFit="1" customWidth="1"/>
    <col min="311" max="311" width="13.54296875" bestFit="1" customWidth="1"/>
    <col min="312" max="312" width="8" bestFit="1" customWidth="1"/>
    <col min="313" max="313" width="13.54296875" bestFit="1" customWidth="1"/>
    <col min="314" max="314" width="8" bestFit="1" customWidth="1"/>
    <col min="315" max="315" width="13.54296875" bestFit="1" customWidth="1"/>
    <col min="316" max="316" width="12.453125" bestFit="1" customWidth="1"/>
    <col min="317" max="317" width="13.54296875" bestFit="1" customWidth="1"/>
    <col min="318" max="318" width="8" bestFit="1" customWidth="1"/>
    <col min="319" max="319" width="13.54296875" bestFit="1" customWidth="1"/>
    <col min="320" max="320" width="12.453125" bestFit="1" customWidth="1"/>
    <col min="321" max="321" width="13.54296875" bestFit="1" customWidth="1"/>
    <col min="322" max="322" width="8" bestFit="1" customWidth="1"/>
    <col min="323" max="323" width="13.54296875" bestFit="1" customWidth="1"/>
    <col min="324" max="324" width="10.36328125" bestFit="1" customWidth="1"/>
    <col min="325" max="325" width="13.54296875" bestFit="1" customWidth="1"/>
    <col min="326" max="326" width="10.36328125" bestFit="1" customWidth="1"/>
    <col min="327" max="327" width="13.54296875" bestFit="1" customWidth="1"/>
    <col min="328" max="328" width="10.36328125" bestFit="1" customWidth="1"/>
    <col min="329" max="329" width="13.54296875" bestFit="1" customWidth="1"/>
    <col min="330" max="330" width="10.36328125" bestFit="1" customWidth="1"/>
    <col min="331" max="331" width="13.54296875" bestFit="1" customWidth="1"/>
    <col min="332" max="332" width="12.453125" bestFit="1" customWidth="1"/>
    <col min="333" max="333" width="13.54296875" bestFit="1" customWidth="1"/>
    <col min="334" max="334" width="10.36328125" bestFit="1" customWidth="1"/>
    <col min="335" max="335" width="13.54296875" bestFit="1" customWidth="1"/>
    <col min="336" max="336" width="12.453125" bestFit="1" customWidth="1"/>
    <col min="337" max="337" width="13.54296875" bestFit="1" customWidth="1"/>
    <col min="338" max="338" width="10.36328125" bestFit="1" customWidth="1"/>
    <col min="339" max="339" width="13.54296875" bestFit="1" customWidth="1"/>
    <col min="340" max="340" width="8" bestFit="1" customWidth="1"/>
    <col min="341" max="341" width="13.54296875" bestFit="1" customWidth="1"/>
    <col min="342" max="342" width="12.453125" bestFit="1" customWidth="1"/>
    <col min="343" max="343" width="13.54296875" bestFit="1" customWidth="1"/>
    <col min="344" max="344" width="12.453125" bestFit="1" customWidth="1"/>
    <col min="345" max="345" width="13.54296875" bestFit="1" customWidth="1"/>
    <col min="346" max="346" width="8" bestFit="1" customWidth="1"/>
    <col min="347" max="347" width="13.54296875" bestFit="1" customWidth="1"/>
    <col min="348" max="348" width="8" bestFit="1" customWidth="1"/>
    <col min="349" max="349" width="13.54296875" bestFit="1" customWidth="1"/>
    <col min="350" max="350" width="8" bestFit="1" customWidth="1"/>
    <col min="351" max="351" width="13.54296875" bestFit="1" customWidth="1"/>
    <col min="352" max="352" width="10.36328125" bestFit="1" customWidth="1"/>
    <col min="353" max="353" width="13.54296875" bestFit="1" customWidth="1"/>
    <col min="354" max="354" width="8" bestFit="1" customWidth="1"/>
    <col min="355" max="355" width="13.54296875" bestFit="1" customWidth="1"/>
    <col min="356" max="356" width="12.453125" bestFit="1" customWidth="1"/>
    <col min="357" max="357" width="13.54296875" bestFit="1" customWidth="1"/>
    <col min="358" max="358" width="10.36328125" bestFit="1" customWidth="1"/>
    <col min="359" max="359" width="13.54296875" bestFit="1" customWidth="1"/>
    <col min="360" max="360" width="10.36328125" bestFit="1" customWidth="1"/>
    <col min="361" max="361" width="13.54296875" bestFit="1" customWidth="1"/>
    <col min="362" max="362" width="10.36328125" bestFit="1" customWidth="1"/>
    <col min="363" max="363" width="13.54296875" bestFit="1" customWidth="1"/>
    <col min="364" max="364" width="8" bestFit="1" customWidth="1"/>
    <col min="365" max="365" width="13.54296875" bestFit="1" customWidth="1"/>
    <col min="366" max="366" width="8" bestFit="1" customWidth="1"/>
    <col min="367" max="367" width="13.54296875" bestFit="1" customWidth="1"/>
    <col min="368" max="368" width="12.453125" bestFit="1" customWidth="1"/>
    <col min="369" max="369" width="13.54296875" bestFit="1" customWidth="1"/>
    <col min="370" max="370" width="10.36328125" bestFit="1" customWidth="1"/>
    <col min="371" max="371" width="13.54296875" bestFit="1" customWidth="1"/>
    <col min="372" max="372" width="8" bestFit="1" customWidth="1"/>
    <col min="373" max="373" width="13.54296875" bestFit="1" customWidth="1"/>
    <col min="374" max="374" width="12.453125" bestFit="1" customWidth="1"/>
    <col min="375" max="375" width="13.54296875" bestFit="1" customWidth="1"/>
    <col min="376" max="376" width="10.36328125" bestFit="1" customWidth="1"/>
    <col min="377" max="377" width="13.54296875" bestFit="1" customWidth="1"/>
    <col min="378" max="378" width="10.36328125" bestFit="1" customWidth="1"/>
    <col min="379" max="379" width="13.54296875" bestFit="1" customWidth="1"/>
    <col min="380" max="380" width="10.36328125" bestFit="1" customWidth="1"/>
    <col min="381" max="381" width="13.54296875" bestFit="1" customWidth="1"/>
    <col min="382" max="382" width="10.36328125" bestFit="1" customWidth="1"/>
    <col min="383" max="383" width="13.54296875" bestFit="1" customWidth="1"/>
    <col min="384" max="384" width="10.36328125" bestFit="1" customWidth="1"/>
    <col min="385" max="385" width="13.54296875" bestFit="1" customWidth="1"/>
    <col min="386" max="386" width="12.453125" bestFit="1" customWidth="1"/>
    <col min="387" max="387" width="13.54296875" bestFit="1" customWidth="1"/>
    <col min="388" max="388" width="12.453125" bestFit="1" customWidth="1"/>
    <col min="389" max="389" width="13.54296875" bestFit="1" customWidth="1"/>
    <col min="390" max="390" width="8" bestFit="1" customWidth="1"/>
    <col min="391" max="391" width="13.54296875" bestFit="1" customWidth="1"/>
    <col min="392" max="392" width="8" bestFit="1" customWidth="1"/>
    <col min="393" max="393" width="13.54296875" bestFit="1" customWidth="1"/>
    <col min="394" max="394" width="10.36328125" bestFit="1" customWidth="1"/>
    <col min="395" max="395" width="13.54296875" bestFit="1" customWidth="1"/>
    <col min="396" max="396" width="12.453125" bestFit="1" customWidth="1"/>
    <col min="397" max="397" width="13.54296875" bestFit="1" customWidth="1"/>
    <col min="398" max="398" width="12.453125" bestFit="1" customWidth="1"/>
    <col min="399" max="399" width="13.54296875" bestFit="1" customWidth="1"/>
    <col min="400" max="400" width="8" bestFit="1" customWidth="1"/>
    <col min="401" max="401" width="13.54296875" bestFit="1" customWidth="1"/>
    <col min="402" max="402" width="10.36328125" bestFit="1" customWidth="1"/>
    <col min="403" max="403" width="13.54296875" bestFit="1" customWidth="1"/>
    <col min="404" max="404" width="12.453125" bestFit="1" customWidth="1"/>
    <col min="405" max="405" width="13.54296875" bestFit="1" customWidth="1"/>
    <col min="406" max="406" width="8" bestFit="1" customWidth="1"/>
    <col min="407" max="407" width="13.54296875" bestFit="1" customWidth="1"/>
    <col min="408" max="408" width="12.453125" bestFit="1" customWidth="1"/>
    <col min="409" max="409" width="13.54296875" bestFit="1" customWidth="1"/>
    <col min="410" max="410" width="10.36328125" bestFit="1" customWidth="1"/>
    <col min="411" max="411" width="13.54296875" bestFit="1" customWidth="1"/>
    <col min="412" max="412" width="8" bestFit="1" customWidth="1"/>
    <col min="413" max="413" width="13.54296875" bestFit="1" customWidth="1"/>
    <col min="414" max="414" width="8" bestFit="1" customWidth="1"/>
    <col min="415" max="415" width="13.54296875" bestFit="1" customWidth="1"/>
    <col min="416" max="416" width="10.36328125" bestFit="1" customWidth="1"/>
    <col min="417" max="417" width="13.54296875" bestFit="1" customWidth="1"/>
    <col min="418" max="418" width="10.36328125" bestFit="1" customWidth="1"/>
    <col min="419" max="419" width="13.54296875" bestFit="1" customWidth="1"/>
    <col min="420" max="420" width="10.36328125" bestFit="1" customWidth="1"/>
    <col min="421" max="421" width="13.54296875" bestFit="1" customWidth="1"/>
    <col min="422" max="422" width="12.453125" bestFit="1" customWidth="1"/>
    <col min="423" max="423" width="13.54296875" bestFit="1" customWidth="1"/>
    <col min="424" max="424" width="10.36328125" bestFit="1" customWidth="1"/>
    <col min="425" max="425" width="13.54296875" bestFit="1" customWidth="1"/>
    <col min="426" max="426" width="8" bestFit="1" customWidth="1"/>
    <col min="427" max="427" width="13.54296875" bestFit="1" customWidth="1"/>
    <col min="428" max="428" width="8" bestFit="1" customWidth="1"/>
    <col min="429" max="429" width="13.54296875" bestFit="1" customWidth="1"/>
    <col min="430" max="430" width="10.36328125" bestFit="1" customWidth="1"/>
    <col min="431" max="431" width="13.54296875" bestFit="1" customWidth="1"/>
    <col min="432" max="432" width="8" bestFit="1" customWidth="1"/>
    <col min="433" max="433" width="13.54296875" bestFit="1" customWidth="1"/>
    <col min="434" max="434" width="8" bestFit="1" customWidth="1"/>
    <col min="435" max="435" width="13.54296875" bestFit="1" customWidth="1"/>
    <col min="436" max="436" width="8" bestFit="1" customWidth="1"/>
    <col min="437" max="437" width="13.54296875" bestFit="1" customWidth="1"/>
    <col min="438" max="438" width="12.453125" bestFit="1" customWidth="1"/>
    <col min="439" max="439" width="13.54296875" bestFit="1" customWidth="1"/>
    <col min="440" max="440" width="10.36328125" bestFit="1" customWidth="1"/>
    <col min="441" max="441" width="13.54296875" bestFit="1" customWidth="1"/>
    <col min="442" max="442" width="12.453125" bestFit="1" customWidth="1"/>
    <col min="443" max="443" width="13.54296875" bestFit="1" customWidth="1"/>
    <col min="444" max="444" width="8" bestFit="1" customWidth="1"/>
    <col min="445" max="445" width="13.54296875" bestFit="1" customWidth="1"/>
    <col min="446" max="446" width="8" bestFit="1" customWidth="1"/>
    <col min="447" max="447" width="13.54296875" bestFit="1" customWidth="1"/>
    <col min="448" max="448" width="12.453125" bestFit="1" customWidth="1"/>
    <col min="449" max="449" width="13.54296875" bestFit="1" customWidth="1"/>
    <col min="450" max="450" width="10.36328125" bestFit="1" customWidth="1"/>
    <col min="451" max="451" width="13.54296875" bestFit="1" customWidth="1"/>
    <col min="452" max="452" width="10.36328125" bestFit="1" customWidth="1"/>
    <col min="453" max="453" width="13.54296875" bestFit="1" customWidth="1"/>
    <col min="454" max="454" width="10.36328125" bestFit="1" customWidth="1"/>
    <col min="455" max="455" width="13.54296875" bestFit="1" customWidth="1"/>
    <col min="456" max="456" width="12.453125" bestFit="1" customWidth="1"/>
    <col min="457" max="457" width="13.54296875" bestFit="1" customWidth="1"/>
    <col min="458" max="458" width="8" bestFit="1" customWidth="1"/>
    <col min="459" max="459" width="13.54296875" bestFit="1" customWidth="1"/>
    <col min="460" max="460" width="10.36328125" bestFit="1" customWidth="1"/>
    <col min="461" max="461" width="13.54296875" bestFit="1" customWidth="1"/>
    <col min="462" max="462" width="12.453125" bestFit="1" customWidth="1"/>
    <col min="463" max="463" width="13.54296875" bestFit="1" customWidth="1"/>
    <col min="464" max="464" width="12.453125" bestFit="1" customWidth="1"/>
    <col min="465" max="465" width="13.54296875" bestFit="1" customWidth="1"/>
    <col min="466" max="466" width="12.453125" bestFit="1" customWidth="1"/>
    <col min="467" max="467" width="13.54296875" bestFit="1" customWidth="1"/>
    <col min="468" max="468" width="10.36328125" bestFit="1" customWidth="1"/>
    <col min="469" max="469" width="13.54296875" bestFit="1" customWidth="1"/>
    <col min="470" max="470" width="8" bestFit="1" customWidth="1"/>
    <col min="471" max="471" width="13.54296875" bestFit="1" customWidth="1"/>
    <col min="472" max="472" width="8" bestFit="1" customWidth="1"/>
    <col min="473" max="473" width="13.54296875" bestFit="1" customWidth="1"/>
    <col min="474" max="474" width="12.453125" bestFit="1" customWidth="1"/>
    <col min="475" max="475" width="13.54296875" bestFit="1" customWidth="1"/>
    <col min="476" max="476" width="10.36328125" bestFit="1" customWidth="1"/>
    <col min="477" max="477" width="13.54296875" bestFit="1" customWidth="1"/>
    <col min="478" max="478" width="10.36328125" bestFit="1" customWidth="1"/>
    <col min="479" max="479" width="13.54296875" bestFit="1" customWidth="1"/>
    <col min="480" max="480" width="10.36328125" bestFit="1" customWidth="1"/>
    <col min="481" max="481" width="13.54296875" bestFit="1" customWidth="1"/>
    <col min="482" max="482" width="12.453125" bestFit="1" customWidth="1"/>
    <col min="483" max="483" width="13.54296875" bestFit="1" customWidth="1"/>
    <col min="484" max="484" width="12.453125" bestFit="1" customWidth="1"/>
    <col min="485" max="485" width="13.54296875" bestFit="1" customWidth="1"/>
    <col min="486" max="486" width="8" bestFit="1" customWidth="1"/>
    <col min="487" max="487" width="13.54296875" bestFit="1" customWidth="1"/>
    <col min="488" max="488" width="12.453125" bestFit="1" customWidth="1"/>
    <col min="489" max="489" width="13.54296875" bestFit="1" customWidth="1"/>
    <col min="490" max="490" width="8" bestFit="1" customWidth="1"/>
    <col min="491" max="491" width="13.54296875" bestFit="1" customWidth="1"/>
    <col min="492" max="492" width="8" bestFit="1" customWidth="1"/>
    <col min="493" max="493" width="13.54296875" bestFit="1" customWidth="1"/>
    <col min="494" max="494" width="10.36328125" bestFit="1" customWidth="1"/>
    <col min="495" max="495" width="13.54296875" bestFit="1" customWidth="1"/>
    <col min="496" max="496" width="10.36328125" bestFit="1" customWidth="1"/>
    <col min="497" max="497" width="13.54296875" bestFit="1" customWidth="1"/>
    <col min="498" max="498" width="10.36328125" bestFit="1" customWidth="1"/>
    <col min="499" max="499" width="13.54296875" bestFit="1" customWidth="1"/>
    <col min="500" max="500" width="12.453125" bestFit="1" customWidth="1"/>
    <col min="501" max="501" width="13.54296875" bestFit="1" customWidth="1"/>
    <col min="502" max="502" width="12.453125" bestFit="1" customWidth="1"/>
    <col min="503" max="503" width="13.54296875" bestFit="1" customWidth="1"/>
    <col min="504" max="504" width="10.36328125" bestFit="1" customWidth="1"/>
    <col min="505" max="505" width="13.54296875" bestFit="1" customWidth="1"/>
    <col min="506" max="506" width="12.453125" bestFit="1" customWidth="1"/>
    <col min="507" max="507" width="13.54296875" bestFit="1" customWidth="1"/>
    <col min="508" max="508" width="12.453125" bestFit="1" customWidth="1"/>
    <col min="509" max="509" width="13.54296875" bestFit="1" customWidth="1"/>
    <col min="510" max="510" width="12.453125" bestFit="1" customWidth="1"/>
    <col min="511" max="511" width="13.54296875" bestFit="1" customWidth="1"/>
    <col min="512" max="512" width="12.453125" bestFit="1" customWidth="1"/>
    <col min="513" max="513" width="13.54296875" bestFit="1" customWidth="1"/>
    <col min="514" max="514" width="8" bestFit="1" customWidth="1"/>
    <col min="515" max="515" width="13.54296875" bestFit="1" customWidth="1"/>
    <col min="516" max="516" width="12.453125" bestFit="1" customWidth="1"/>
    <col min="517" max="517" width="13.54296875" bestFit="1" customWidth="1"/>
    <col min="518" max="518" width="10.36328125" bestFit="1" customWidth="1"/>
    <col min="519" max="519" width="13.54296875" bestFit="1" customWidth="1"/>
    <col min="520" max="520" width="12.453125" bestFit="1" customWidth="1"/>
    <col min="521" max="521" width="13.54296875" bestFit="1" customWidth="1"/>
    <col min="522" max="522" width="8" bestFit="1" customWidth="1"/>
    <col min="523" max="523" width="13.54296875" bestFit="1" customWidth="1"/>
    <col min="524" max="524" width="8" bestFit="1" customWidth="1"/>
    <col min="525" max="525" width="13.54296875" bestFit="1" customWidth="1"/>
    <col min="526" max="526" width="10.36328125" bestFit="1" customWidth="1"/>
    <col min="527" max="527" width="13.54296875" bestFit="1" customWidth="1"/>
    <col min="528" max="528" width="12.453125" bestFit="1" customWidth="1"/>
    <col min="529" max="529" width="13.54296875" bestFit="1" customWidth="1"/>
    <col min="530" max="530" width="8" bestFit="1" customWidth="1"/>
    <col min="531" max="531" width="13.54296875" bestFit="1" customWidth="1"/>
    <col min="532" max="532" width="12.453125" bestFit="1" customWidth="1"/>
    <col min="533" max="533" width="13.54296875" bestFit="1" customWidth="1"/>
    <col min="534" max="534" width="10.36328125" bestFit="1" customWidth="1"/>
    <col min="535" max="535" width="13.54296875" bestFit="1" customWidth="1"/>
    <col min="536" max="536" width="12.453125" bestFit="1" customWidth="1"/>
    <col min="537" max="537" width="13.54296875" bestFit="1" customWidth="1"/>
    <col min="538" max="538" width="10.36328125" bestFit="1" customWidth="1"/>
    <col min="539" max="539" width="13.54296875" bestFit="1" customWidth="1"/>
    <col min="540" max="540" width="8" bestFit="1" customWidth="1"/>
    <col min="541" max="541" width="13.54296875" bestFit="1" customWidth="1"/>
    <col min="542" max="542" width="8" bestFit="1" customWidth="1"/>
    <col min="543" max="543" width="13.54296875" bestFit="1" customWidth="1"/>
    <col min="544" max="544" width="12.453125" bestFit="1" customWidth="1"/>
    <col min="545" max="545" width="13.54296875" bestFit="1" customWidth="1"/>
    <col min="546" max="546" width="12.453125" bestFit="1" customWidth="1"/>
    <col min="547" max="547" width="13.54296875" bestFit="1" customWidth="1"/>
    <col min="548" max="548" width="10.36328125" bestFit="1" customWidth="1"/>
    <col min="549" max="549" width="13.54296875" bestFit="1" customWidth="1"/>
    <col min="550" max="550" width="10.36328125" bestFit="1" customWidth="1"/>
    <col min="551" max="551" width="13.54296875" bestFit="1" customWidth="1"/>
    <col min="552" max="552" width="8" bestFit="1" customWidth="1"/>
    <col min="553" max="553" width="13.54296875" bestFit="1" customWidth="1"/>
    <col min="554" max="554" width="8" bestFit="1" customWidth="1"/>
    <col min="555" max="555" width="13.54296875" bestFit="1" customWidth="1"/>
    <col min="556" max="556" width="12.453125" bestFit="1" customWidth="1"/>
    <col min="557" max="557" width="13.54296875" bestFit="1" customWidth="1"/>
    <col min="558" max="558" width="10.36328125" bestFit="1" customWidth="1"/>
    <col min="559" max="559" width="13.54296875" bestFit="1" customWidth="1"/>
    <col min="560" max="560" width="10.36328125" bestFit="1" customWidth="1"/>
    <col min="561" max="561" width="13.54296875" bestFit="1" customWidth="1"/>
    <col min="562" max="562" width="10.36328125" bestFit="1" customWidth="1"/>
    <col min="563" max="563" width="13.54296875" bestFit="1" customWidth="1"/>
    <col min="564" max="564" width="12.453125" bestFit="1" customWidth="1"/>
    <col min="565" max="565" width="13.54296875" bestFit="1" customWidth="1"/>
    <col min="566" max="566" width="12.453125" bestFit="1" customWidth="1"/>
    <col min="567" max="567" width="13.54296875" bestFit="1" customWidth="1"/>
    <col min="568" max="568" width="12.453125" bestFit="1" customWidth="1"/>
    <col min="569" max="569" width="13.54296875" bestFit="1" customWidth="1"/>
    <col min="570" max="570" width="10.36328125" bestFit="1" customWidth="1"/>
    <col min="571" max="571" width="13.54296875" bestFit="1" customWidth="1"/>
    <col min="572" max="572" width="12.453125" bestFit="1" customWidth="1"/>
    <col min="573" max="573" width="13.54296875" bestFit="1" customWidth="1"/>
    <col min="574" max="574" width="12.453125" bestFit="1" customWidth="1"/>
    <col min="575" max="575" width="13.54296875" bestFit="1" customWidth="1"/>
    <col min="576" max="576" width="12.453125" bestFit="1" customWidth="1"/>
    <col min="577" max="577" width="13.54296875" bestFit="1" customWidth="1"/>
    <col min="578" max="578" width="12.453125" bestFit="1" customWidth="1"/>
    <col min="579" max="579" width="13.54296875" bestFit="1" customWidth="1"/>
    <col min="580" max="580" width="12.453125" bestFit="1" customWidth="1"/>
    <col min="581" max="581" width="13.54296875" bestFit="1" customWidth="1"/>
    <col min="582" max="582" width="8" bestFit="1" customWidth="1"/>
    <col min="583" max="583" width="13.54296875" bestFit="1" customWidth="1"/>
    <col min="584" max="584" width="10.36328125" bestFit="1" customWidth="1"/>
    <col min="585" max="585" width="13.54296875" bestFit="1" customWidth="1"/>
    <col min="586" max="586" width="8" bestFit="1" customWidth="1"/>
    <col min="587" max="587" width="13.54296875" bestFit="1" customWidth="1"/>
    <col min="588" max="588" width="10.36328125" bestFit="1" customWidth="1"/>
    <col min="589" max="589" width="13.54296875" bestFit="1" customWidth="1"/>
    <col min="590" max="590" width="10.36328125" bestFit="1" customWidth="1"/>
    <col min="591" max="591" width="13.54296875" bestFit="1" customWidth="1"/>
    <col min="592" max="592" width="8" bestFit="1" customWidth="1"/>
    <col min="593" max="593" width="13.54296875" bestFit="1" customWidth="1"/>
    <col min="594" max="594" width="10.36328125" bestFit="1" customWidth="1"/>
    <col min="595" max="595" width="13.54296875" bestFit="1" customWidth="1"/>
    <col min="596" max="596" width="10.36328125" bestFit="1" customWidth="1"/>
    <col min="597" max="597" width="13.54296875" bestFit="1" customWidth="1"/>
    <col min="598" max="598" width="12.453125" bestFit="1" customWidth="1"/>
    <col min="599" max="599" width="13.54296875" bestFit="1" customWidth="1"/>
    <col min="600" max="600" width="8" bestFit="1" customWidth="1"/>
    <col min="601" max="601" width="13.54296875" bestFit="1" customWidth="1"/>
    <col min="602" max="602" width="10.36328125" bestFit="1" customWidth="1"/>
    <col min="603" max="603" width="13.54296875" bestFit="1" customWidth="1"/>
    <col min="604" max="604" width="8" bestFit="1" customWidth="1"/>
    <col min="605" max="605" width="13.54296875" bestFit="1" customWidth="1"/>
    <col min="606" max="606" width="12.453125" bestFit="1" customWidth="1"/>
    <col min="607" max="607" width="13.54296875" bestFit="1" customWidth="1"/>
    <col min="608" max="608" width="12.453125" bestFit="1" customWidth="1"/>
    <col min="609" max="609" width="13.54296875" bestFit="1" customWidth="1"/>
    <col min="610" max="610" width="8" bestFit="1" customWidth="1"/>
    <col min="611" max="611" width="13.54296875" bestFit="1" customWidth="1"/>
    <col min="612" max="612" width="10.36328125" bestFit="1" customWidth="1"/>
    <col min="613" max="613" width="13.54296875" bestFit="1" customWidth="1"/>
    <col min="614" max="614" width="10.36328125" bestFit="1" customWidth="1"/>
    <col min="615" max="615" width="13.54296875" bestFit="1" customWidth="1"/>
    <col min="616" max="616" width="12.453125" bestFit="1" customWidth="1"/>
    <col min="617" max="617" width="13.54296875" bestFit="1" customWidth="1"/>
    <col min="618" max="618" width="8" bestFit="1" customWidth="1"/>
    <col min="619" max="619" width="13.54296875" bestFit="1" customWidth="1"/>
    <col min="620" max="620" width="10.36328125" bestFit="1" customWidth="1"/>
    <col min="621" max="621" width="13.54296875" bestFit="1" customWidth="1"/>
    <col min="622" max="622" width="12.453125" bestFit="1" customWidth="1"/>
    <col min="623" max="623" width="13.54296875" bestFit="1" customWidth="1"/>
    <col min="624" max="624" width="8" bestFit="1" customWidth="1"/>
    <col min="625" max="625" width="13.54296875" bestFit="1" customWidth="1"/>
    <col min="626" max="626" width="12.453125" bestFit="1" customWidth="1"/>
    <col min="627" max="627" width="13.54296875" bestFit="1" customWidth="1"/>
    <col min="628" max="628" width="8" bestFit="1" customWidth="1"/>
    <col min="629" max="629" width="13.54296875" bestFit="1" customWidth="1"/>
    <col min="630" max="630" width="12.453125" bestFit="1" customWidth="1"/>
    <col min="631" max="631" width="13.54296875" bestFit="1" customWidth="1"/>
    <col min="632" max="632" width="8" bestFit="1" customWidth="1"/>
    <col min="633" max="633" width="13.54296875" bestFit="1" customWidth="1"/>
    <col min="634" max="634" width="10.36328125" bestFit="1" customWidth="1"/>
    <col min="635" max="635" width="13.54296875" bestFit="1" customWidth="1"/>
    <col min="636" max="636" width="12.453125" bestFit="1" customWidth="1"/>
    <col min="637" max="637" width="13.54296875" bestFit="1" customWidth="1"/>
    <col min="638" max="638" width="10.36328125" bestFit="1" customWidth="1"/>
    <col min="639" max="639" width="13.54296875" bestFit="1" customWidth="1"/>
    <col min="640" max="640" width="8" bestFit="1" customWidth="1"/>
    <col min="641" max="641" width="13.54296875" bestFit="1" customWidth="1"/>
    <col min="642" max="642" width="12.453125" bestFit="1" customWidth="1"/>
    <col min="643" max="643" width="13.54296875" bestFit="1" customWidth="1"/>
    <col min="644" max="644" width="12.453125" bestFit="1" customWidth="1"/>
    <col min="645" max="645" width="13.54296875" bestFit="1" customWidth="1"/>
    <col min="646" max="646" width="8" bestFit="1" customWidth="1"/>
    <col min="647" max="647" width="13.54296875" bestFit="1" customWidth="1"/>
    <col min="648" max="648" width="10.36328125" bestFit="1" customWidth="1"/>
    <col min="649" max="649" width="13.54296875" bestFit="1" customWidth="1"/>
    <col min="650" max="650" width="8" bestFit="1" customWidth="1"/>
    <col min="651" max="651" width="13.54296875" bestFit="1" customWidth="1"/>
    <col min="652" max="652" width="8" bestFit="1" customWidth="1"/>
    <col min="653" max="653" width="13.54296875" bestFit="1" customWidth="1"/>
    <col min="654" max="654" width="8" bestFit="1" customWidth="1"/>
    <col min="655" max="655" width="13.54296875" bestFit="1" customWidth="1"/>
    <col min="656" max="656" width="8" bestFit="1" customWidth="1"/>
    <col min="657" max="657" width="13.54296875" bestFit="1" customWidth="1"/>
    <col min="658" max="658" width="12.453125" bestFit="1" customWidth="1"/>
    <col min="659" max="659" width="13.54296875" bestFit="1" customWidth="1"/>
    <col min="660" max="660" width="12.453125" bestFit="1" customWidth="1"/>
    <col min="661" max="661" width="13.54296875" bestFit="1" customWidth="1"/>
    <col min="662" max="662" width="8" bestFit="1" customWidth="1"/>
    <col min="663" max="663" width="13.54296875" bestFit="1" customWidth="1"/>
    <col min="664" max="664" width="12.453125" bestFit="1" customWidth="1"/>
    <col min="665" max="665" width="13.54296875" bestFit="1" customWidth="1"/>
    <col min="666" max="666" width="12.453125" bestFit="1" customWidth="1"/>
    <col min="667" max="667" width="13.54296875" bestFit="1" customWidth="1"/>
    <col min="668" max="668" width="10.36328125" bestFit="1" customWidth="1"/>
    <col min="669" max="669" width="13.54296875" bestFit="1" customWidth="1"/>
    <col min="670" max="670" width="8" bestFit="1" customWidth="1"/>
    <col min="671" max="671" width="13.54296875" bestFit="1" customWidth="1"/>
    <col min="672" max="672" width="10.36328125" bestFit="1" customWidth="1"/>
    <col min="673" max="673" width="13.54296875" bestFit="1" customWidth="1"/>
    <col min="674" max="674" width="10.36328125" bestFit="1" customWidth="1"/>
    <col min="675" max="675" width="13.54296875" bestFit="1" customWidth="1"/>
    <col min="676" max="676" width="8" bestFit="1" customWidth="1"/>
    <col min="677" max="677" width="13.54296875" bestFit="1" customWidth="1"/>
    <col min="678" max="678" width="8" bestFit="1" customWidth="1"/>
    <col min="679" max="679" width="13.54296875" bestFit="1" customWidth="1"/>
    <col min="680" max="680" width="12.453125" bestFit="1" customWidth="1"/>
    <col min="681" max="681" width="13.54296875" bestFit="1" customWidth="1"/>
    <col min="682" max="682" width="12.453125" bestFit="1" customWidth="1"/>
    <col min="683" max="683" width="13.54296875" bestFit="1" customWidth="1"/>
    <col min="684" max="684" width="12.453125" bestFit="1" customWidth="1"/>
    <col min="685" max="685" width="13.54296875" bestFit="1" customWidth="1"/>
    <col min="686" max="686" width="12.453125" bestFit="1" customWidth="1"/>
    <col min="687" max="687" width="13.54296875" bestFit="1" customWidth="1"/>
    <col min="688" max="688" width="8" bestFit="1" customWidth="1"/>
    <col min="689" max="689" width="13.54296875" bestFit="1" customWidth="1"/>
    <col min="690" max="690" width="12.453125" bestFit="1" customWidth="1"/>
    <col min="691" max="691" width="13.54296875" bestFit="1" customWidth="1"/>
    <col min="692" max="692" width="12.453125" bestFit="1" customWidth="1"/>
    <col min="693" max="693" width="13.54296875" bestFit="1" customWidth="1"/>
    <col min="694" max="694" width="10.36328125" bestFit="1" customWidth="1"/>
    <col min="695" max="695" width="13.54296875" bestFit="1" customWidth="1"/>
    <col min="696" max="696" width="8" bestFit="1" customWidth="1"/>
    <col min="697" max="697" width="13.54296875" bestFit="1" customWidth="1"/>
    <col min="698" max="698" width="10.36328125" bestFit="1" customWidth="1"/>
    <col min="699" max="699" width="13.54296875" bestFit="1" customWidth="1"/>
    <col min="700" max="700" width="8" bestFit="1" customWidth="1"/>
    <col min="701" max="701" width="13.54296875" bestFit="1" customWidth="1"/>
    <col min="702" max="702" width="10.36328125" bestFit="1" customWidth="1"/>
    <col min="703" max="703" width="13.54296875" bestFit="1" customWidth="1"/>
    <col min="704" max="704" width="8" bestFit="1" customWidth="1"/>
    <col min="705" max="705" width="13.54296875" bestFit="1" customWidth="1"/>
    <col min="706" max="706" width="12.453125" bestFit="1" customWidth="1"/>
    <col min="707" max="707" width="13.54296875" bestFit="1" customWidth="1"/>
    <col min="708" max="708" width="12.453125" bestFit="1" customWidth="1"/>
    <col min="709" max="709" width="13.54296875" bestFit="1" customWidth="1"/>
    <col min="710" max="710" width="10.36328125" bestFit="1" customWidth="1"/>
    <col min="711" max="711" width="13.54296875" bestFit="1" customWidth="1"/>
    <col min="712" max="712" width="8" bestFit="1" customWidth="1"/>
    <col min="713" max="713" width="13.54296875" bestFit="1" customWidth="1"/>
    <col min="714" max="714" width="10.36328125" bestFit="1" customWidth="1"/>
    <col min="715" max="715" width="13.54296875" bestFit="1" customWidth="1"/>
    <col min="716" max="716" width="8" bestFit="1" customWidth="1"/>
    <col min="717" max="717" width="13.54296875" bestFit="1" customWidth="1"/>
    <col min="718" max="718" width="8" bestFit="1" customWidth="1"/>
    <col min="719" max="719" width="13.54296875" bestFit="1" customWidth="1"/>
    <col min="720" max="720" width="8" bestFit="1" customWidth="1"/>
    <col min="721" max="721" width="13.54296875" bestFit="1" customWidth="1"/>
    <col min="722" max="722" width="10.36328125" bestFit="1" customWidth="1"/>
    <col min="723" max="723" width="13.54296875" bestFit="1" customWidth="1"/>
    <col min="724" max="724" width="12.453125" bestFit="1" customWidth="1"/>
    <col min="725" max="725" width="13.54296875" bestFit="1" customWidth="1"/>
    <col min="726" max="726" width="12.453125" bestFit="1" customWidth="1"/>
    <col min="727" max="727" width="13.54296875" bestFit="1" customWidth="1"/>
    <col min="728" max="728" width="12.453125" bestFit="1" customWidth="1"/>
    <col min="729" max="729" width="13.54296875" bestFit="1" customWidth="1"/>
    <col min="730" max="730" width="12.453125" bestFit="1" customWidth="1"/>
    <col min="731" max="731" width="13.54296875" bestFit="1" customWidth="1"/>
    <col min="732" max="732" width="10.36328125" bestFit="1" customWidth="1"/>
    <col min="733" max="733" width="13.54296875" bestFit="1" customWidth="1"/>
    <col min="734" max="734" width="12.453125" bestFit="1" customWidth="1"/>
    <col min="735" max="735" width="13.54296875" bestFit="1" customWidth="1"/>
    <col min="736" max="736" width="10.36328125" bestFit="1" customWidth="1"/>
    <col min="737" max="737" width="13.54296875" bestFit="1" customWidth="1"/>
    <col min="738" max="738" width="10.36328125" bestFit="1" customWidth="1"/>
    <col min="739" max="739" width="13.54296875" bestFit="1" customWidth="1"/>
    <col min="740" max="740" width="12.453125" bestFit="1" customWidth="1"/>
    <col min="741" max="741" width="13.54296875" bestFit="1" customWidth="1"/>
    <col min="742" max="742" width="8" bestFit="1" customWidth="1"/>
    <col min="743" max="743" width="13.54296875" bestFit="1" customWidth="1"/>
    <col min="744" max="744" width="10.36328125" bestFit="1" customWidth="1"/>
    <col min="745" max="745" width="13.54296875" bestFit="1" customWidth="1"/>
    <col min="746" max="746" width="12.453125" bestFit="1" customWidth="1"/>
    <col min="747" max="747" width="13.54296875" bestFit="1" customWidth="1"/>
    <col min="748" max="748" width="8" bestFit="1" customWidth="1"/>
    <col min="749" max="749" width="13.54296875" bestFit="1" customWidth="1"/>
    <col min="750" max="750" width="8" bestFit="1" customWidth="1"/>
    <col min="751" max="751" width="13.54296875" bestFit="1" customWidth="1"/>
    <col min="752" max="752" width="10.36328125" bestFit="1" customWidth="1"/>
    <col min="753" max="753" width="13.54296875" bestFit="1" customWidth="1"/>
    <col min="754" max="754" width="10.36328125" bestFit="1" customWidth="1"/>
    <col min="755" max="755" width="13.54296875" bestFit="1" customWidth="1"/>
    <col min="756" max="756" width="12.453125" bestFit="1" customWidth="1"/>
    <col min="757" max="757" width="13.54296875" bestFit="1" customWidth="1"/>
    <col min="758" max="758" width="8" bestFit="1" customWidth="1"/>
    <col min="759" max="759" width="13.54296875" bestFit="1" customWidth="1"/>
    <col min="760" max="760" width="10.36328125" bestFit="1" customWidth="1"/>
    <col min="761" max="761" width="13.54296875" bestFit="1" customWidth="1"/>
    <col min="762" max="762" width="8" bestFit="1" customWidth="1"/>
    <col min="763" max="763" width="13.54296875" bestFit="1" customWidth="1"/>
    <col min="764" max="764" width="10.36328125" bestFit="1" customWidth="1"/>
    <col min="765" max="765" width="13.54296875" bestFit="1" customWidth="1"/>
    <col min="766" max="766" width="12.453125" bestFit="1" customWidth="1"/>
    <col min="767" max="767" width="13.54296875" bestFit="1" customWidth="1"/>
    <col min="768" max="768" width="10.36328125" bestFit="1" customWidth="1"/>
    <col min="769" max="769" width="13.54296875" bestFit="1" customWidth="1"/>
    <col min="770" max="770" width="10.36328125" bestFit="1" customWidth="1"/>
    <col min="771" max="771" width="13.54296875" bestFit="1" customWidth="1"/>
    <col min="772" max="772" width="10.36328125" bestFit="1" customWidth="1"/>
    <col min="773" max="773" width="13.54296875" bestFit="1" customWidth="1"/>
    <col min="774" max="774" width="12.453125" bestFit="1" customWidth="1"/>
    <col min="775" max="775" width="13.54296875" bestFit="1" customWidth="1"/>
    <col min="776" max="776" width="10.36328125" bestFit="1" customWidth="1"/>
    <col min="777" max="777" width="13.54296875" bestFit="1" customWidth="1"/>
    <col min="778" max="778" width="12.453125" bestFit="1" customWidth="1"/>
    <col min="779" max="779" width="13.54296875" bestFit="1" customWidth="1"/>
    <col min="780" max="780" width="10.36328125" bestFit="1" customWidth="1"/>
    <col min="781" max="781" width="13.54296875" bestFit="1" customWidth="1"/>
    <col min="782" max="782" width="8" bestFit="1" customWidth="1"/>
    <col min="783" max="783" width="13.54296875" bestFit="1" customWidth="1"/>
    <col min="784" max="784" width="12.453125" bestFit="1" customWidth="1"/>
    <col min="785" max="785" width="13.54296875" bestFit="1" customWidth="1"/>
    <col min="786" max="786" width="12.453125" bestFit="1" customWidth="1"/>
    <col min="787" max="787" width="13.54296875" bestFit="1" customWidth="1"/>
    <col min="788" max="788" width="12.453125" bestFit="1" customWidth="1"/>
    <col min="789" max="789" width="13.54296875" bestFit="1" customWidth="1"/>
    <col min="790" max="790" width="10.36328125" bestFit="1" customWidth="1"/>
    <col min="791" max="791" width="13.54296875" bestFit="1" customWidth="1"/>
    <col min="792" max="792" width="10.36328125" bestFit="1" customWidth="1"/>
    <col min="793" max="793" width="13.54296875" bestFit="1" customWidth="1"/>
    <col min="794" max="794" width="8" bestFit="1" customWidth="1"/>
    <col min="795" max="795" width="13.54296875" bestFit="1" customWidth="1"/>
    <col min="796" max="796" width="8" bestFit="1" customWidth="1"/>
    <col min="797" max="797" width="13.54296875" bestFit="1" customWidth="1"/>
    <col min="798" max="798" width="12.453125" bestFit="1" customWidth="1"/>
    <col min="799" max="799" width="13.54296875" bestFit="1" customWidth="1"/>
    <col min="800" max="800" width="12.453125" bestFit="1" customWidth="1"/>
    <col min="801" max="801" width="13.54296875" bestFit="1" customWidth="1"/>
    <col min="802" max="802" width="8" bestFit="1" customWidth="1"/>
    <col min="803" max="803" width="13.54296875" bestFit="1" customWidth="1"/>
    <col min="804" max="804" width="12.453125" bestFit="1" customWidth="1"/>
    <col min="805" max="805" width="13.54296875" bestFit="1" customWidth="1"/>
    <col min="806" max="806" width="8" bestFit="1" customWidth="1"/>
    <col min="807" max="807" width="13.54296875" bestFit="1" customWidth="1"/>
    <col min="808" max="808" width="10.36328125" bestFit="1" customWidth="1"/>
    <col min="809" max="809" width="13.54296875" bestFit="1" customWidth="1"/>
    <col min="810" max="810" width="12.453125" bestFit="1" customWidth="1"/>
    <col min="811" max="811" width="13.54296875" bestFit="1" customWidth="1"/>
    <col min="812" max="812" width="8" bestFit="1" customWidth="1"/>
    <col min="813" max="813" width="13.54296875" bestFit="1" customWidth="1"/>
    <col min="814" max="814" width="10.36328125" bestFit="1" customWidth="1"/>
    <col min="815" max="815" width="13.54296875" bestFit="1" customWidth="1"/>
    <col min="816" max="816" width="12.453125" bestFit="1" customWidth="1"/>
    <col min="817" max="817" width="13.54296875" bestFit="1" customWidth="1"/>
    <col min="818" max="818" width="10.36328125" bestFit="1" customWidth="1"/>
    <col min="819" max="819" width="13.54296875" bestFit="1" customWidth="1"/>
    <col min="820" max="820" width="8" bestFit="1" customWidth="1"/>
    <col min="821" max="821" width="13.54296875" bestFit="1" customWidth="1"/>
    <col min="822" max="822" width="12.453125" bestFit="1" customWidth="1"/>
    <col min="823" max="823" width="13.54296875" bestFit="1" customWidth="1"/>
    <col min="824" max="824" width="12.453125" bestFit="1" customWidth="1"/>
    <col min="825" max="825" width="13.54296875" bestFit="1" customWidth="1"/>
    <col min="826" max="826" width="12.453125" bestFit="1" customWidth="1"/>
    <col min="827" max="827" width="13.54296875" bestFit="1" customWidth="1"/>
    <col min="828" max="828" width="12.453125" bestFit="1" customWidth="1"/>
    <col min="829" max="829" width="13.54296875" bestFit="1" customWidth="1"/>
    <col min="830" max="830" width="12.453125" bestFit="1" customWidth="1"/>
    <col min="831" max="831" width="13.54296875" bestFit="1" customWidth="1"/>
    <col min="832" max="832" width="12.453125" bestFit="1" customWidth="1"/>
    <col min="833" max="833" width="13.54296875" bestFit="1" customWidth="1"/>
    <col min="834" max="834" width="12.453125" bestFit="1" customWidth="1"/>
    <col min="835" max="835" width="13.54296875" bestFit="1" customWidth="1"/>
    <col min="836" max="836" width="8" bestFit="1" customWidth="1"/>
    <col min="837" max="837" width="13.54296875" bestFit="1" customWidth="1"/>
    <col min="838" max="838" width="10.36328125" bestFit="1" customWidth="1"/>
    <col min="839" max="839" width="13.54296875" bestFit="1" customWidth="1"/>
    <col min="840" max="840" width="12.453125" bestFit="1" customWidth="1"/>
    <col min="841" max="841" width="13.54296875" bestFit="1" customWidth="1"/>
    <col min="842" max="842" width="10.36328125" bestFit="1" customWidth="1"/>
    <col min="843" max="843" width="13.54296875" bestFit="1" customWidth="1"/>
    <col min="844" max="844" width="8" bestFit="1" customWidth="1"/>
    <col min="845" max="845" width="13.54296875" bestFit="1" customWidth="1"/>
    <col min="846" max="846" width="12.453125" bestFit="1" customWidth="1"/>
    <col min="847" max="847" width="13.54296875" bestFit="1" customWidth="1"/>
    <col min="848" max="848" width="12.453125" bestFit="1" customWidth="1"/>
    <col min="849" max="849" width="13.54296875" bestFit="1" customWidth="1"/>
    <col min="850" max="850" width="8" bestFit="1" customWidth="1"/>
    <col min="851" max="851" width="13.54296875" bestFit="1" customWidth="1"/>
    <col min="852" max="852" width="12.453125" bestFit="1" customWidth="1"/>
    <col min="853" max="853" width="13.54296875" bestFit="1" customWidth="1"/>
    <col min="854" max="854" width="10.36328125" bestFit="1" customWidth="1"/>
    <col min="855" max="855" width="13.54296875" bestFit="1" customWidth="1"/>
    <col min="856" max="856" width="12.453125" bestFit="1" customWidth="1"/>
    <col min="857" max="857" width="13.54296875" bestFit="1" customWidth="1"/>
    <col min="858" max="858" width="10.36328125" bestFit="1" customWidth="1"/>
    <col min="859" max="859" width="13.54296875" bestFit="1" customWidth="1"/>
    <col min="860" max="860" width="8" bestFit="1" customWidth="1"/>
    <col min="861" max="861" width="13.54296875" bestFit="1" customWidth="1"/>
    <col min="862" max="862" width="8" bestFit="1" customWidth="1"/>
    <col min="863" max="863" width="13.54296875" bestFit="1" customWidth="1"/>
    <col min="864" max="864" width="8" bestFit="1" customWidth="1"/>
    <col min="865" max="865" width="13.54296875" bestFit="1" customWidth="1"/>
    <col min="866" max="866" width="8" bestFit="1" customWidth="1"/>
    <col min="867" max="867" width="13.54296875" bestFit="1" customWidth="1"/>
    <col min="868" max="868" width="10.36328125" bestFit="1" customWidth="1"/>
    <col min="869" max="869" width="13.54296875" bestFit="1" customWidth="1"/>
    <col min="870" max="870" width="10.36328125" bestFit="1" customWidth="1"/>
    <col min="871" max="871" width="13.54296875" bestFit="1" customWidth="1"/>
    <col min="872" max="872" width="8" bestFit="1" customWidth="1"/>
    <col min="873" max="873" width="13.54296875" bestFit="1" customWidth="1"/>
    <col min="874" max="874" width="10.36328125" bestFit="1" customWidth="1"/>
    <col min="875" max="875" width="13.54296875" bestFit="1" customWidth="1"/>
    <col min="876" max="876" width="8" bestFit="1" customWidth="1"/>
    <col min="877" max="877" width="13.54296875" bestFit="1" customWidth="1"/>
    <col min="878" max="878" width="8" bestFit="1" customWidth="1"/>
    <col min="879" max="879" width="13.54296875" bestFit="1" customWidth="1"/>
    <col min="880" max="880" width="10.36328125" bestFit="1" customWidth="1"/>
    <col min="881" max="881" width="13.54296875" bestFit="1" customWidth="1"/>
    <col min="882" max="882" width="12.453125" bestFit="1" customWidth="1"/>
    <col min="883" max="883" width="13.54296875" bestFit="1" customWidth="1"/>
    <col min="884" max="884" width="10.36328125" bestFit="1" customWidth="1"/>
    <col min="885" max="885" width="13.54296875" bestFit="1" customWidth="1"/>
    <col min="886" max="886" width="10.36328125" bestFit="1" customWidth="1"/>
    <col min="887" max="887" width="13.54296875" bestFit="1" customWidth="1"/>
    <col min="888" max="888" width="12.453125" bestFit="1" customWidth="1"/>
    <col min="889" max="889" width="13.54296875" bestFit="1" customWidth="1"/>
    <col min="890" max="890" width="10.36328125" bestFit="1" customWidth="1"/>
    <col min="891" max="891" width="13.54296875" bestFit="1" customWidth="1"/>
    <col min="892" max="892" width="12.453125" bestFit="1" customWidth="1"/>
    <col min="893" max="893" width="13.54296875" bestFit="1" customWidth="1"/>
    <col min="894" max="894" width="10.36328125" bestFit="1" customWidth="1"/>
    <col min="895" max="895" width="13.54296875" bestFit="1" customWidth="1"/>
    <col min="896" max="896" width="12.453125" bestFit="1" customWidth="1"/>
    <col min="897" max="897" width="13.54296875" bestFit="1" customWidth="1"/>
    <col min="898" max="898" width="10.36328125" bestFit="1" customWidth="1"/>
    <col min="899" max="899" width="13.54296875" bestFit="1" customWidth="1"/>
    <col min="900" max="900" width="8" bestFit="1" customWidth="1"/>
    <col min="901" max="901" width="13.54296875" bestFit="1" customWidth="1"/>
    <col min="902" max="902" width="10.36328125" bestFit="1" customWidth="1"/>
    <col min="903" max="903" width="13.54296875" bestFit="1" customWidth="1"/>
    <col min="904" max="904" width="10.36328125" bestFit="1" customWidth="1"/>
    <col min="905" max="905" width="13.54296875" bestFit="1" customWidth="1"/>
    <col min="906" max="906" width="12.453125" bestFit="1" customWidth="1"/>
    <col min="907" max="907" width="13.54296875" bestFit="1" customWidth="1"/>
    <col min="908" max="908" width="10.36328125" bestFit="1" customWidth="1"/>
    <col min="909" max="909" width="13.54296875" bestFit="1" customWidth="1"/>
    <col min="910" max="910" width="12.453125" bestFit="1" customWidth="1"/>
    <col min="911" max="911" width="13.54296875" bestFit="1" customWidth="1"/>
    <col min="912" max="912" width="8" bestFit="1" customWidth="1"/>
    <col min="913" max="913" width="13.54296875" bestFit="1" customWidth="1"/>
    <col min="914" max="914" width="12.453125" bestFit="1" customWidth="1"/>
    <col min="915" max="915" width="13.54296875" bestFit="1" customWidth="1"/>
    <col min="916" max="916" width="8" bestFit="1" customWidth="1"/>
    <col min="917" max="917" width="13.54296875" bestFit="1" customWidth="1"/>
    <col min="918" max="918" width="12.453125" bestFit="1" customWidth="1"/>
    <col min="919" max="919" width="13.54296875" bestFit="1" customWidth="1"/>
    <col min="920" max="920" width="10.36328125" bestFit="1" customWidth="1"/>
    <col min="921" max="921" width="13.54296875" bestFit="1" customWidth="1"/>
    <col min="922" max="922" width="8" bestFit="1" customWidth="1"/>
    <col min="923" max="923" width="13.54296875" bestFit="1" customWidth="1"/>
    <col min="924" max="924" width="12.453125" bestFit="1" customWidth="1"/>
    <col min="925" max="925" width="13.54296875" bestFit="1" customWidth="1"/>
    <col min="926" max="926" width="8" bestFit="1" customWidth="1"/>
    <col min="927" max="927" width="13.54296875" bestFit="1" customWidth="1"/>
    <col min="928" max="928" width="10.36328125" bestFit="1" customWidth="1"/>
    <col min="929" max="929" width="13.54296875" bestFit="1" customWidth="1"/>
    <col min="930" max="930" width="8" bestFit="1" customWidth="1"/>
    <col min="931" max="931" width="13.54296875" bestFit="1" customWidth="1"/>
    <col min="932" max="932" width="12.453125" bestFit="1" customWidth="1"/>
    <col min="933" max="933" width="13.54296875" bestFit="1" customWidth="1"/>
    <col min="934" max="934" width="12.453125" bestFit="1" customWidth="1"/>
    <col min="935" max="935" width="13.54296875" bestFit="1" customWidth="1"/>
    <col min="936" max="936" width="10.36328125" bestFit="1" customWidth="1"/>
    <col min="937" max="937" width="13.54296875" bestFit="1" customWidth="1"/>
    <col min="938" max="938" width="8" bestFit="1" customWidth="1"/>
    <col min="939" max="939" width="13.54296875" bestFit="1" customWidth="1"/>
    <col min="940" max="940" width="10.36328125" bestFit="1" customWidth="1"/>
    <col min="941" max="941" width="13.54296875" bestFit="1" customWidth="1"/>
    <col min="942" max="942" width="8" bestFit="1" customWidth="1"/>
    <col min="943" max="943" width="13.54296875" bestFit="1" customWidth="1"/>
    <col min="944" max="944" width="12.453125" bestFit="1" customWidth="1"/>
    <col min="945" max="945" width="13.54296875" bestFit="1" customWidth="1"/>
    <col min="946" max="946" width="12.453125" bestFit="1" customWidth="1"/>
    <col min="947" max="947" width="13.54296875" bestFit="1" customWidth="1"/>
    <col min="948" max="948" width="12.453125" bestFit="1" customWidth="1"/>
    <col min="949" max="949" width="13.54296875" bestFit="1" customWidth="1"/>
    <col min="950" max="950" width="8" bestFit="1" customWidth="1"/>
    <col min="951" max="951" width="13.54296875" bestFit="1" customWidth="1"/>
    <col min="952" max="952" width="10.36328125" bestFit="1" customWidth="1"/>
    <col min="953" max="953" width="13.54296875" bestFit="1" customWidth="1"/>
    <col min="954" max="954" width="8" bestFit="1" customWidth="1"/>
    <col min="955" max="955" width="13.54296875" bestFit="1" customWidth="1"/>
    <col min="956" max="956" width="8" bestFit="1" customWidth="1"/>
    <col min="957" max="957" width="13.54296875" bestFit="1" customWidth="1"/>
    <col min="958" max="958" width="8" bestFit="1" customWidth="1"/>
    <col min="959" max="959" width="13.54296875" bestFit="1" customWidth="1"/>
    <col min="960" max="960" width="8" bestFit="1" customWidth="1"/>
    <col min="961" max="961" width="13.54296875" bestFit="1" customWidth="1"/>
    <col min="962" max="962" width="10.36328125" bestFit="1" customWidth="1"/>
    <col min="963" max="963" width="13.54296875" bestFit="1" customWidth="1"/>
    <col min="964" max="964" width="12.453125" bestFit="1" customWidth="1"/>
    <col min="965" max="965" width="13.54296875" bestFit="1" customWidth="1"/>
    <col min="966" max="966" width="10.36328125" bestFit="1" customWidth="1"/>
    <col min="967" max="967" width="13.54296875" bestFit="1" customWidth="1"/>
    <col min="968" max="968" width="10.36328125" bestFit="1" customWidth="1"/>
    <col min="969" max="969" width="13.54296875" bestFit="1" customWidth="1"/>
    <col min="970" max="970" width="10.36328125" bestFit="1" customWidth="1"/>
    <col min="971" max="971" width="13.54296875" bestFit="1" customWidth="1"/>
    <col min="972" max="972" width="8" bestFit="1" customWidth="1"/>
    <col min="973" max="973" width="13.54296875" bestFit="1" customWidth="1"/>
    <col min="974" max="974" width="12.453125" bestFit="1" customWidth="1"/>
    <col min="975" max="975" width="13.54296875" bestFit="1" customWidth="1"/>
    <col min="976" max="976" width="10.36328125" bestFit="1" customWidth="1"/>
    <col min="977" max="977" width="13.54296875" bestFit="1" customWidth="1"/>
    <col min="978" max="978" width="10.36328125" bestFit="1" customWidth="1"/>
    <col min="979" max="979" width="13.54296875" bestFit="1" customWidth="1"/>
    <col min="980" max="980" width="12.453125" bestFit="1" customWidth="1"/>
    <col min="981" max="981" width="13.54296875" bestFit="1" customWidth="1"/>
    <col min="982" max="982" width="8" bestFit="1" customWidth="1"/>
    <col min="983" max="983" width="13.54296875" bestFit="1" customWidth="1"/>
    <col min="984" max="984" width="8" bestFit="1" customWidth="1"/>
    <col min="985" max="985" width="13.54296875" bestFit="1" customWidth="1"/>
    <col min="986" max="986" width="10.36328125" bestFit="1" customWidth="1"/>
    <col min="987" max="987" width="13.54296875" bestFit="1" customWidth="1"/>
    <col min="988" max="988" width="10.36328125" bestFit="1" customWidth="1"/>
    <col min="989" max="989" width="13.54296875" bestFit="1" customWidth="1"/>
    <col min="990" max="990" width="12.453125" bestFit="1" customWidth="1"/>
    <col min="991" max="991" width="13.54296875" bestFit="1" customWidth="1"/>
    <col min="992" max="992" width="12.453125" bestFit="1" customWidth="1"/>
    <col min="993" max="993" width="13.54296875" bestFit="1" customWidth="1"/>
    <col min="994" max="994" width="12.453125" bestFit="1" customWidth="1"/>
    <col min="995" max="995" width="13.54296875" bestFit="1" customWidth="1"/>
    <col min="996" max="996" width="12.453125" bestFit="1" customWidth="1"/>
    <col min="997" max="997" width="13.54296875" bestFit="1" customWidth="1"/>
    <col min="998" max="998" width="12.453125" bestFit="1" customWidth="1"/>
    <col min="999" max="999" width="13.54296875" bestFit="1" customWidth="1"/>
    <col min="1000" max="1000" width="8" bestFit="1" customWidth="1"/>
    <col min="1001" max="1001" width="13.54296875" bestFit="1" customWidth="1"/>
    <col min="1002" max="1002" width="10.36328125" bestFit="1" customWidth="1"/>
    <col min="1003" max="1003" width="13.54296875" bestFit="1" customWidth="1"/>
    <col min="1004" max="1004" width="12.453125" bestFit="1" customWidth="1"/>
    <col min="1005" max="1005" width="13.54296875" bestFit="1" customWidth="1"/>
    <col min="1006" max="1006" width="10.36328125" bestFit="1" customWidth="1"/>
    <col min="1007" max="1007" width="13.54296875" bestFit="1" customWidth="1"/>
    <col min="1008" max="1008" width="12.453125" bestFit="1" customWidth="1"/>
    <col min="1009" max="1009" width="13.54296875" bestFit="1" customWidth="1"/>
    <col min="1010" max="1010" width="8" bestFit="1" customWidth="1"/>
    <col min="1011" max="1011" width="13.54296875" bestFit="1" customWidth="1"/>
    <col min="1012" max="1012" width="12.453125" bestFit="1" customWidth="1"/>
    <col min="1013" max="1013" width="13.54296875" bestFit="1" customWidth="1"/>
    <col min="1014" max="1014" width="10.36328125" bestFit="1" customWidth="1"/>
    <col min="1015" max="1015" width="13.54296875" bestFit="1" customWidth="1"/>
    <col min="1016" max="1016" width="12.453125" bestFit="1" customWidth="1"/>
    <col min="1017" max="1017" width="13.54296875" bestFit="1" customWidth="1"/>
    <col min="1018" max="1018" width="10.36328125" bestFit="1" customWidth="1"/>
    <col min="1019" max="1019" width="13.54296875" bestFit="1" customWidth="1"/>
    <col min="1020" max="1020" width="10.36328125" bestFit="1" customWidth="1"/>
    <col min="1021" max="1021" width="13.54296875" bestFit="1" customWidth="1"/>
    <col min="1022" max="1022" width="8" bestFit="1" customWidth="1"/>
    <col min="1023" max="1023" width="13.54296875" bestFit="1" customWidth="1"/>
    <col min="1024" max="1024" width="8" bestFit="1" customWidth="1"/>
    <col min="1025" max="1025" width="13.54296875" bestFit="1" customWidth="1"/>
    <col min="1026" max="1026" width="12.453125" bestFit="1" customWidth="1"/>
    <col min="1027" max="1027" width="13.54296875" bestFit="1" customWidth="1"/>
    <col min="1028" max="1028" width="10.36328125" bestFit="1" customWidth="1"/>
    <col min="1029" max="1029" width="13.54296875" bestFit="1" customWidth="1"/>
    <col min="1030" max="1030" width="10.36328125" bestFit="1" customWidth="1"/>
    <col min="1031" max="1031" width="13.54296875" bestFit="1" customWidth="1"/>
    <col min="1032" max="1032" width="10.36328125" bestFit="1" customWidth="1"/>
    <col min="1033" max="1033" width="13.54296875" bestFit="1" customWidth="1"/>
    <col min="1034" max="1034" width="10.36328125" bestFit="1" customWidth="1"/>
    <col min="1035" max="1035" width="13.54296875" bestFit="1" customWidth="1"/>
    <col min="1036" max="1036" width="8" bestFit="1" customWidth="1"/>
    <col min="1037" max="1037" width="13.54296875" bestFit="1" customWidth="1"/>
    <col min="1038" max="1038" width="8" bestFit="1" customWidth="1"/>
    <col min="1039" max="1039" width="13.54296875" bestFit="1" customWidth="1"/>
    <col min="1040" max="1040" width="8" bestFit="1" customWidth="1"/>
    <col min="1041" max="1041" width="13.54296875" bestFit="1" customWidth="1"/>
    <col min="1042" max="1042" width="10.36328125" bestFit="1" customWidth="1"/>
    <col min="1043" max="1043" width="13.54296875" bestFit="1" customWidth="1"/>
    <col min="1044" max="1044" width="8" bestFit="1" customWidth="1"/>
    <col min="1045" max="1045" width="13.54296875" bestFit="1" customWidth="1"/>
    <col min="1046" max="1046" width="10.36328125" bestFit="1" customWidth="1"/>
    <col min="1047" max="1047" width="13.54296875" bestFit="1" customWidth="1"/>
    <col min="1048" max="1048" width="8" bestFit="1" customWidth="1"/>
    <col min="1049" max="1049" width="13.54296875" bestFit="1" customWidth="1"/>
    <col min="1050" max="1050" width="10.36328125" bestFit="1" customWidth="1"/>
    <col min="1051" max="1051" width="13.54296875" bestFit="1" customWidth="1"/>
    <col min="1052" max="1052" width="8" bestFit="1" customWidth="1"/>
    <col min="1053" max="1053" width="13.54296875" bestFit="1" customWidth="1"/>
    <col min="1054" max="1054" width="12.453125" bestFit="1" customWidth="1"/>
    <col min="1055" max="1055" width="13.54296875" bestFit="1" customWidth="1"/>
    <col min="1056" max="1056" width="8" bestFit="1" customWidth="1"/>
    <col min="1057" max="1057" width="13.54296875" bestFit="1" customWidth="1"/>
    <col min="1058" max="1058" width="8" bestFit="1" customWidth="1"/>
    <col min="1059" max="1059" width="13.54296875" bestFit="1" customWidth="1"/>
    <col min="1060" max="1060" width="10.36328125" bestFit="1" customWidth="1"/>
    <col min="1061" max="1061" width="13.54296875" bestFit="1" customWidth="1"/>
    <col min="1062" max="1062" width="10.36328125" bestFit="1" customWidth="1"/>
    <col min="1063" max="1063" width="13.54296875" bestFit="1" customWidth="1"/>
    <col min="1064" max="1064" width="10.36328125" bestFit="1" customWidth="1"/>
    <col min="1065" max="1065" width="13.54296875" bestFit="1" customWidth="1"/>
    <col min="1066" max="1066" width="8" bestFit="1" customWidth="1"/>
    <col min="1067" max="1067" width="13.54296875" bestFit="1" customWidth="1"/>
    <col min="1068" max="1068" width="8" bestFit="1" customWidth="1"/>
    <col min="1069" max="1069" width="13.54296875" bestFit="1" customWidth="1"/>
    <col min="1070" max="1070" width="8" bestFit="1" customWidth="1"/>
    <col min="1071" max="1071" width="13.54296875" bestFit="1" customWidth="1"/>
    <col min="1072" max="1072" width="10.36328125" bestFit="1" customWidth="1"/>
    <col min="1073" max="1073" width="13.54296875" bestFit="1" customWidth="1"/>
    <col min="1074" max="1074" width="12.453125" bestFit="1" customWidth="1"/>
    <col min="1075" max="1075" width="13.54296875" bestFit="1" customWidth="1"/>
    <col min="1076" max="1076" width="8" bestFit="1" customWidth="1"/>
    <col min="1077" max="1077" width="13.54296875" bestFit="1" customWidth="1"/>
    <col min="1078" max="1078" width="12.453125" bestFit="1" customWidth="1"/>
    <col min="1079" max="1079" width="13.54296875" bestFit="1" customWidth="1"/>
    <col min="1080" max="1080" width="8" bestFit="1" customWidth="1"/>
    <col min="1081" max="1081" width="13.54296875" bestFit="1" customWidth="1"/>
    <col min="1082" max="1082" width="10.36328125" bestFit="1" customWidth="1"/>
    <col min="1083" max="1083" width="13.54296875" bestFit="1" customWidth="1"/>
    <col min="1084" max="1084" width="8" bestFit="1" customWidth="1"/>
    <col min="1085" max="1085" width="13.54296875" bestFit="1" customWidth="1"/>
    <col min="1086" max="1086" width="12.453125" bestFit="1" customWidth="1"/>
    <col min="1087" max="1087" width="13.54296875" bestFit="1" customWidth="1"/>
    <col min="1088" max="1088" width="10.36328125" bestFit="1" customWidth="1"/>
    <col min="1089" max="1089" width="13.54296875" bestFit="1" customWidth="1"/>
    <col min="1090" max="1090" width="12.453125" bestFit="1" customWidth="1"/>
    <col min="1091" max="1091" width="13.54296875" bestFit="1" customWidth="1"/>
    <col min="1092" max="1092" width="12.453125" bestFit="1" customWidth="1"/>
    <col min="1093" max="1093" width="13.54296875" bestFit="1" customWidth="1"/>
    <col min="1094" max="1094" width="10.36328125" bestFit="1" customWidth="1"/>
    <col min="1095" max="1095" width="13.54296875" bestFit="1" customWidth="1"/>
    <col min="1096" max="1096" width="8" bestFit="1" customWidth="1"/>
    <col min="1097" max="1097" width="13.54296875" bestFit="1" customWidth="1"/>
    <col min="1098" max="1098" width="10.36328125" bestFit="1" customWidth="1"/>
    <col min="1099" max="1099" width="13.54296875" bestFit="1" customWidth="1"/>
    <col min="1100" max="1100" width="8" bestFit="1" customWidth="1"/>
    <col min="1101" max="1101" width="13.54296875" bestFit="1" customWidth="1"/>
    <col min="1102" max="1102" width="10.36328125" bestFit="1" customWidth="1"/>
    <col min="1103" max="1103" width="13.54296875" bestFit="1" customWidth="1"/>
    <col min="1104" max="1104" width="12.453125" bestFit="1" customWidth="1"/>
    <col min="1105" max="1105" width="13.54296875" bestFit="1" customWidth="1"/>
    <col min="1106" max="1106" width="10.36328125" bestFit="1" customWidth="1"/>
    <col min="1107" max="1107" width="13.54296875" bestFit="1" customWidth="1"/>
    <col min="1108" max="1108" width="8" bestFit="1" customWidth="1"/>
    <col min="1109" max="1109" width="13.54296875" bestFit="1" customWidth="1"/>
    <col min="1110" max="1110" width="8" bestFit="1" customWidth="1"/>
    <col min="1111" max="1111" width="13.54296875" bestFit="1" customWidth="1"/>
    <col min="1112" max="1112" width="12.453125" bestFit="1" customWidth="1"/>
    <col min="1113" max="1113" width="13.54296875" bestFit="1" customWidth="1"/>
    <col min="1114" max="1114" width="8" bestFit="1" customWidth="1"/>
    <col min="1115" max="1115" width="13.54296875" bestFit="1" customWidth="1"/>
    <col min="1116" max="1116" width="10.36328125" bestFit="1" customWidth="1"/>
    <col min="1117" max="1117" width="13.54296875" bestFit="1" customWidth="1"/>
    <col min="1118" max="1118" width="10.36328125" bestFit="1" customWidth="1"/>
    <col min="1119" max="1119" width="13.54296875" bestFit="1" customWidth="1"/>
    <col min="1120" max="1120" width="10.36328125" bestFit="1" customWidth="1"/>
    <col min="1121" max="1121" width="13.54296875" bestFit="1" customWidth="1"/>
    <col min="1122" max="1122" width="10.36328125" bestFit="1" customWidth="1"/>
    <col min="1123" max="1123" width="13.54296875" bestFit="1" customWidth="1"/>
    <col min="1124" max="1124" width="8" bestFit="1" customWidth="1"/>
    <col min="1125" max="1125" width="13.54296875" bestFit="1" customWidth="1"/>
    <col min="1126" max="1126" width="12.453125" bestFit="1" customWidth="1"/>
    <col min="1127" max="1127" width="13.54296875" bestFit="1" customWidth="1"/>
    <col min="1128" max="1128" width="8" bestFit="1" customWidth="1"/>
    <col min="1129" max="1129" width="13.54296875" bestFit="1" customWidth="1"/>
    <col min="1130" max="1130" width="8" bestFit="1" customWidth="1"/>
    <col min="1131" max="1131" width="13.54296875" bestFit="1" customWidth="1"/>
    <col min="1132" max="1132" width="8" bestFit="1" customWidth="1"/>
    <col min="1133" max="1133" width="13.54296875" bestFit="1" customWidth="1"/>
    <col min="1134" max="1134" width="12.453125" bestFit="1" customWidth="1"/>
    <col min="1135" max="1135" width="13.54296875" bestFit="1" customWidth="1"/>
    <col min="1136" max="1136" width="10.36328125" bestFit="1" customWidth="1"/>
    <col min="1137" max="1137" width="13.54296875" bestFit="1" customWidth="1"/>
    <col min="1138" max="1138" width="10.36328125" bestFit="1" customWidth="1"/>
    <col min="1139" max="1139" width="13.54296875" bestFit="1" customWidth="1"/>
    <col min="1140" max="1140" width="10.36328125" bestFit="1" customWidth="1"/>
    <col min="1141" max="1141" width="13.54296875" bestFit="1" customWidth="1"/>
    <col min="1142" max="1142" width="12.453125" bestFit="1" customWidth="1"/>
    <col min="1143" max="1143" width="13.54296875" bestFit="1" customWidth="1"/>
    <col min="1144" max="1144" width="8" bestFit="1" customWidth="1"/>
    <col min="1145" max="1145" width="13.54296875" bestFit="1" customWidth="1"/>
    <col min="1146" max="1146" width="12.453125" bestFit="1" customWidth="1"/>
    <col min="1147" max="1147" width="13.54296875" bestFit="1" customWidth="1"/>
    <col min="1148" max="1148" width="12.453125" bestFit="1" customWidth="1"/>
    <col min="1149" max="1149" width="13.54296875" bestFit="1" customWidth="1"/>
    <col min="1150" max="1150" width="10.36328125" bestFit="1" customWidth="1"/>
    <col min="1151" max="1151" width="13.54296875" bestFit="1" customWidth="1"/>
    <col min="1152" max="1152" width="10.36328125" bestFit="1" customWidth="1"/>
    <col min="1153" max="1153" width="13.54296875" bestFit="1" customWidth="1"/>
    <col min="1154" max="1154" width="10.36328125" bestFit="1" customWidth="1"/>
    <col min="1155" max="1155" width="13.54296875" bestFit="1" customWidth="1"/>
    <col min="1156" max="1156" width="8" bestFit="1" customWidth="1"/>
    <col min="1157" max="1157" width="13.54296875" bestFit="1" customWidth="1"/>
    <col min="1158" max="1158" width="12.453125" bestFit="1" customWidth="1"/>
    <col min="1159" max="1159" width="13.54296875" bestFit="1" customWidth="1"/>
    <col min="1160" max="1160" width="10.36328125" bestFit="1" customWidth="1"/>
    <col min="1161" max="1161" width="13.54296875" bestFit="1" customWidth="1"/>
    <col min="1162" max="1162" width="8" bestFit="1" customWidth="1"/>
    <col min="1163" max="1163" width="13.54296875" bestFit="1" customWidth="1"/>
    <col min="1164" max="1164" width="8" bestFit="1" customWidth="1"/>
    <col min="1165" max="1165" width="13.54296875" bestFit="1" customWidth="1"/>
    <col min="1166" max="1166" width="8" bestFit="1" customWidth="1"/>
    <col min="1167" max="1167" width="13.54296875" bestFit="1" customWidth="1"/>
    <col min="1168" max="1168" width="12.453125" bestFit="1" customWidth="1"/>
    <col min="1169" max="1169" width="13.54296875" bestFit="1" customWidth="1"/>
    <col min="1170" max="1170" width="10.36328125" bestFit="1" customWidth="1"/>
    <col min="1171" max="1171" width="13.54296875" bestFit="1" customWidth="1"/>
    <col min="1172" max="1172" width="8" bestFit="1" customWidth="1"/>
    <col min="1173" max="1173" width="13.54296875" bestFit="1" customWidth="1"/>
    <col min="1174" max="1174" width="8" bestFit="1" customWidth="1"/>
    <col min="1175" max="1175" width="13.54296875" bestFit="1" customWidth="1"/>
    <col min="1176" max="1176" width="10.36328125" bestFit="1" customWidth="1"/>
    <col min="1177" max="1177" width="13.54296875" bestFit="1" customWidth="1"/>
    <col min="1178" max="1178" width="12.453125" bestFit="1" customWidth="1"/>
    <col min="1179" max="1179" width="13.54296875" bestFit="1" customWidth="1"/>
    <col min="1180" max="1180" width="12.453125" bestFit="1" customWidth="1"/>
    <col min="1181" max="1181" width="13.54296875" bestFit="1" customWidth="1"/>
    <col min="1182" max="1182" width="12.453125" bestFit="1" customWidth="1"/>
    <col min="1183" max="1183" width="13.54296875" bestFit="1" customWidth="1"/>
    <col min="1184" max="1184" width="10.36328125" bestFit="1" customWidth="1"/>
    <col min="1185" max="1185" width="13.54296875" bestFit="1" customWidth="1"/>
    <col min="1186" max="1186" width="8" bestFit="1" customWidth="1"/>
    <col min="1187" max="1187" width="13.54296875" bestFit="1" customWidth="1"/>
    <col min="1188" max="1188" width="12.453125" bestFit="1" customWidth="1"/>
    <col min="1189" max="1189" width="13.54296875" bestFit="1" customWidth="1"/>
    <col min="1190" max="1190" width="12.453125" bestFit="1" customWidth="1"/>
    <col min="1191" max="1191" width="13.54296875" bestFit="1" customWidth="1"/>
    <col min="1192" max="1192" width="12.453125" bestFit="1" customWidth="1"/>
    <col min="1193" max="1193" width="13.54296875" bestFit="1" customWidth="1"/>
    <col min="1194" max="1194" width="10.36328125" bestFit="1" customWidth="1"/>
    <col min="1195" max="1195" width="13.54296875" bestFit="1" customWidth="1"/>
    <col min="1196" max="1196" width="12.453125" bestFit="1" customWidth="1"/>
    <col min="1197" max="1197" width="13.54296875" bestFit="1" customWidth="1"/>
    <col min="1198" max="1198" width="8" bestFit="1" customWidth="1"/>
    <col min="1199" max="1199" width="13.54296875" bestFit="1" customWidth="1"/>
    <col min="1200" max="1200" width="8" bestFit="1" customWidth="1"/>
    <col min="1201" max="1201" width="13.54296875" bestFit="1" customWidth="1"/>
    <col min="1202" max="1202" width="10.36328125" bestFit="1" customWidth="1"/>
    <col min="1203" max="1203" width="13.54296875" bestFit="1" customWidth="1"/>
    <col min="1204" max="1204" width="10.36328125" bestFit="1" customWidth="1"/>
    <col min="1205" max="1205" width="13.54296875" bestFit="1" customWidth="1"/>
    <col min="1206" max="1206" width="8" bestFit="1" customWidth="1"/>
    <col min="1207" max="1207" width="13.54296875" bestFit="1" customWidth="1"/>
    <col min="1208" max="1208" width="12.453125" bestFit="1" customWidth="1"/>
    <col min="1209" max="1209" width="13.54296875" bestFit="1" customWidth="1"/>
    <col min="1210" max="1210" width="8" bestFit="1" customWidth="1"/>
    <col min="1211" max="1211" width="10.36328125" bestFit="1" customWidth="1"/>
    <col min="1212" max="1212" width="13.54296875" bestFit="1" customWidth="1"/>
    <col min="1213" max="1213" width="10.36328125" bestFit="1" customWidth="1"/>
    <col min="1214" max="1214" width="13.54296875" bestFit="1" customWidth="1"/>
    <col min="1215" max="1215" width="12.453125" bestFit="1" customWidth="1"/>
    <col min="1216" max="1216" width="13.54296875" bestFit="1" customWidth="1"/>
    <col min="1217" max="1217" width="12.453125" bestFit="1" customWidth="1"/>
    <col min="1218" max="1218" width="13.54296875" bestFit="1" customWidth="1"/>
    <col min="1219" max="1219" width="12.453125" bestFit="1" customWidth="1"/>
    <col min="1220" max="1220" width="13.54296875" bestFit="1" customWidth="1"/>
    <col min="1221" max="1221" width="10.36328125" bestFit="1" customWidth="1"/>
    <col min="1222" max="1222" width="13.54296875" bestFit="1" customWidth="1"/>
    <col min="1223" max="1223" width="8" bestFit="1" customWidth="1"/>
    <col min="1224" max="1224" width="13.54296875" bestFit="1" customWidth="1"/>
    <col min="1225" max="1225" width="8" bestFit="1" customWidth="1"/>
    <col min="1226" max="1226" width="13.54296875" bestFit="1" customWidth="1"/>
    <col min="1227" max="1227" width="10.36328125" bestFit="1" customWidth="1"/>
    <col min="1228" max="1228" width="13.54296875" bestFit="1" customWidth="1"/>
    <col min="1229" max="1229" width="8" bestFit="1" customWidth="1"/>
    <col min="1230" max="1230" width="13.54296875" bestFit="1" customWidth="1"/>
    <col min="1231" max="1231" width="8" bestFit="1" customWidth="1"/>
    <col min="1232" max="1232" width="13.54296875" bestFit="1" customWidth="1"/>
    <col min="1233" max="1233" width="12.453125" bestFit="1" customWidth="1"/>
    <col min="1234" max="1234" width="13.54296875" bestFit="1" customWidth="1"/>
    <col min="1235" max="1235" width="8" bestFit="1" customWidth="1"/>
    <col min="1236" max="1236" width="13.54296875" bestFit="1" customWidth="1"/>
    <col min="1237" max="1237" width="8" bestFit="1" customWidth="1"/>
    <col min="1238" max="1238" width="13.54296875" bestFit="1" customWidth="1"/>
    <col min="1239" max="1239" width="12.453125" bestFit="1" customWidth="1"/>
    <col min="1240" max="1240" width="13.54296875" bestFit="1" customWidth="1"/>
    <col min="1241" max="1241" width="8" bestFit="1" customWidth="1"/>
    <col min="1242" max="1242" width="13.54296875" bestFit="1" customWidth="1"/>
    <col min="1243" max="1243" width="10.36328125" bestFit="1" customWidth="1"/>
    <col min="1244" max="1244" width="13.54296875" bestFit="1" customWidth="1"/>
    <col min="1245" max="1245" width="12.453125" bestFit="1" customWidth="1"/>
    <col min="1246" max="1246" width="13.54296875" bestFit="1" customWidth="1"/>
    <col min="1247" max="1247" width="10.36328125" bestFit="1" customWidth="1"/>
    <col min="1248" max="1248" width="13.54296875" bestFit="1" customWidth="1"/>
    <col min="1249" max="1249" width="12.453125" bestFit="1" customWidth="1"/>
    <col min="1250" max="1250" width="13.54296875" bestFit="1" customWidth="1"/>
    <col min="1251" max="1251" width="8" bestFit="1" customWidth="1"/>
    <col min="1252" max="1252" width="13.54296875" bestFit="1" customWidth="1"/>
    <col min="1253" max="1253" width="12.453125" bestFit="1" customWidth="1"/>
    <col min="1254" max="1254" width="13.54296875" bestFit="1" customWidth="1"/>
    <col min="1255" max="1255" width="8" bestFit="1" customWidth="1"/>
    <col min="1256" max="1256" width="13.54296875" bestFit="1" customWidth="1"/>
    <col min="1257" max="1257" width="12.453125" bestFit="1" customWidth="1"/>
    <col min="1258" max="1258" width="13.54296875" bestFit="1" customWidth="1"/>
    <col min="1259" max="1259" width="8" bestFit="1" customWidth="1"/>
    <col min="1260" max="1260" width="13.54296875" bestFit="1" customWidth="1"/>
    <col min="1261" max="1261" width="12.453125" bestFit="1" customWidth="1"/>
    <col min="1262" max="1262" width="13.54296875" bestFit="1" customWidth="1"/>
    <col min="1263" max="1263" width="8" bestFit="1" customWidth="1"/>
    <col min="1264" max="1264" width="13.54296875" bestFit="1" customWidth="1"/>
    <col min="1265" max="1265" width="12.453125" bestFit="1" customWidth="1"/>
    <col min="1266" max="1266" width="13.54296875" bestFit="1" customWidth="1"/>
    <col min="1267" max="1267" width="8" bestFit="1" customWidth="1"/>
    <col min="1268" max="1268" width="13.54296875" bestFit="1" customWidth="1"/>
    <col min="1269" max="1269" width="8" bestFit="1" customWidth="1"/>
    <col min="1270" max="1270" width="13.54296875" bestFit="1" customWidth="1"/>
    <col min="1271" max="1271" width="12.453125" bestFit="1" customWidth="1"/>
    <col min="1272" max="1272" width="13.54296875" bestFit="1" customWidth="1"/>
    <col min="1273" max="1273" width="12.453125" bestFit="1" customWidth="1"/>
    <col min="1274" max="1274" width="13.54296875" bestFit="1" customWidth="1"/>
    <col min="1275" max="1275" width="8" bestFit="1" customWidth="1"/>
    <col min="1276" max="1276" width="13.54296875" bestFit="1" customWidth="1"/>
    <col min="1277" max="1277" width="12.453125" bestFit="1" customWidth="1"/>
    <col min="1278" max="1278" width="13.54296875" bestFit="1" customWidth="1"/>
    <col min="1279" max="1279" width="8" bestFit="1" customWidth="1"/>
    <col min="1280" max="1280" width="13.54296875" bestFit="1" customWidth="1"/>
    <col min="1281" max="1281" width="10.36328125" bestFit="1" customWidth="1"/>
    <col min="1282" max="1282" width="13.54296875" bestFit="1" customWidth="1"/>
    <col min="1283" max="1283" width="10.36328125" bestFit="1" customWidth="1"/>
    <col min="1284" max="1284" width="13.54296875" bestFit="1" customWidth="1"/>
    <col min="1285" max="1285" width="8" bestFit="1" customWidth="1"/>
    <col min="1286" max="1286" width="13.54296875" bestFit="1" customWidth="1"/>
    <col min="1287" max="1287" width="10.36328125" bestFit="1" customWidth="1"/>
    <col min="1288" max="1288" width="13.54296875" bestFit="1" customWidth="1"/>
    <col min="1289" max="1289" width="10.36328125" bestFit="1" customWidth="1"/>
    <col min="1290" max="1290" width="13.54296875" bestFit="1" customWidth="1"/>
    <col min="1291" max="1291" width="12.453125" bestFit="1" customWidth="1"/>
    <col min="1292" max="1292" width="13.54296875" bestFit="1" customWidth="1"/>
    <col min="1293" max="1293" width="8" bestFit="1" customWidth="1"/>
    <col min="1294" max="1294" width="13.54296875" bestFit="1" customWidth="1"/>
    <col min="1295" max="1295" width="8" bestFit="1" customWidth="1"/>
    <col min="1296" max="1296" width="13.54296875" bestFit="1" customWidth="1"/>
    <col min="1297" max="1297" width="10.36328125" bestFit="1" customWidth="1"/>
    <col min="1298" max="1298" width="13.54296875" bestFit="1" customWidth="1"/>
    <col min="1299" max="1299" width="10.36328125" bestFit="1" customWidth="1"/>
    <col min="1300" max="1300" width="13.54296875" bestFit="1" customWidth="1"/>
    <col min="1301" max="1301" width="8" bestFit="1" customWidth="1"/>
    <col min="1302" max="1302" width="13.54296875" bestFit="1" customWidth="1"/>
    <col min="1303" max="1303" width="12.453125" bestFit="1" customWidth="1"/>
    <col min="1304" max="1304" width="13.54296875" bestFit="1" customWidth="1"/>
    <col min="1305" max="1305" width="12.453125" bestFit="1" customWidth="1"/>
    <col min="1306" max="1306" width="13.54296875" bestFit="1" customWidth="1"/>
    <col min="1307" max="1307" width="12.453125" bestFit="1" customWidth="1"/>
    <col min="1308" max="1308" width="13.54296875" bestFit="1" customWidth="1"/>
    <col min="1309" max="1309" width="8" bestFit="1" customWidth="1"/>
    <col min="1310" max="1310" width="13.54296875" bestFit="1" customWidth="1"/>
    <col min="1311" max="1311" width="10.36328125" bestFit="1" customWidth="1"/>
    <col min="1312" max="1312" width="13.54296875" bestFit="1" customWidth="1"/>
    <col min="1313" max="1313" width="12.453125" bestFit="1" customWidth="1"/>
    <col min="1314" max="1314" width="13.54296875" bestFit="1" customWidth="1"/>
    <col min="1315" max="1315" width="10.36328125" bestFit="1" customWidth="1"/>
    <col min="1316" max="1316" width="13.54296875" bestFit="1" customWidth="1"/>
    <col min="1317" max="1317" width="8" bestFit="1" customWidth="1"/>
    <col min="1318" max="1318" width="13.54296875" bestFit="1" customWidth="1"/>
    <col min="1319" max="1319" width="10.36328125" bestFit="1" customWidth="1"/>
    <col min="1320" max="1320" width="13.54296875" bestFit="1" customWidth="1"/>
    <col min="1321" max="1321" width="10.36328125" bestFit="1" customWidth="1"/>
    <col min="1322" max="1322" width="13.54296875" bestFit="1" customWidth="1"/>
    <col min="1323" max="1323" width="10.36328125" bestFit="1" customWidth="1"/>
    <col min="1324" max="1324" width="13.54296875" bestFit="1" customWidth="1"/>
    <col min="1325" max="1325" width="8" bestFit="1" customWidth="1"/>
    <col min="1326" max="1326" width="13.54296875" bestFit="1" customWidth="1"/>
    <col min="1327" max="1327" width="12.453125" bestFit="1" customWidth="1"/>
    <col min="1328" max="1328" width="13.54296875" bestFit="1" customWidth="1"/>
    <col min="1329" max="1329" width="12.453125" bestFit="1" customWidth="1"/>
    <col min="1330" max="1330" width="13.54296875" bestFit="1" customWidth="1"/>
    <col min="1331" max="1331" width="12.453125" bestFit="1" customWidth="1"/>
    <col min="1332" max="1332" width="13.54296875" bestFit="1" customWidth="1"/>
    <col min="1333" max="1333" width="12.453125" bestFit="1" customWidth="1"/>
    <col min="1334" max="1334" width="13.54296875" bestFit="1" customWidth="1"/>
    <col min="1335" max="1335" width="12.453125" bestFit="1" customWidth="1"/>
    <col min="1336" max="1336" width="13.54296875" bestFit="1" customWidth="1"/>
    <col min="1337" max="1337" width="10.36328125" bestFit="1" customWidth="1"/>
    <col min="1338" max="1338" width="13.54296875" bestFit="1" customWidth="1"/>
    <col min="1339" max="1339" width="12.453125" bestFit="1" customWidth="1"/>
    <col min="1340" max="1340" width="13.54296875" bestFit="1" customWidth="1"/>
    <col min="1341" max="1341" width="8" bestFit="1" customWidth="1"/>
    <col min="1342" max="1342" width="13.54296875" bestFit="1" customWidth="1"/>
    <col min="1343" max="1343" width="8" bestFit="1" customWidth="1"/>
    <col min="1344" max="1344" width="13.54296875" bestFit="1" customWidth="1"/>
    <col min="1345" max="1345" width="10.36328125" bestFit="1" customWidth="1"/>
    <col min="1346" max="1346" width="13.54296875" bestFit="1" customWidth="1"/>
    <col min="1347" max="1347" width="8" bestFit="1" customWidth="1"/>
    <col min="1348" max="1348" width="13.54296875" bestFit="1" customWidth="1"/>
    <col min="1349" max="1349" width="10.36328125" bestFit="1" customWidth="1"/>
    <col min="1350" max="1350" width="13.54296875" bestFit="1" customWidth="1"/>
    <col min="1351" max="1351" width="8" bestFit="1" customWidth="1"/>
    <col min="1352" max="1352" width="13.54296875" bestFit="1" customWidth="1"/>
    <col min="1353" max="1353" width="12.453125" bestFit="1" customWidth="1"/>
    <col min="1354" max="1354" width="13.54296875" bestFit="1" customWidth="1"/>
    <col min="1355" max="1355" width="10.36328125" bestFit="1" customWidth="1"/>
    <col min="1356" max="1356" width="13.54296875" bestFit="1" customWidth="1"/>
    <col min="1357" max="1357" width="8" bestFit="1" customWidth="1"/>
    <col min="1358" max="1358" width="13.54296875" bestFit="1" customWidth="1"/>
    <col min="1359" max="1359" width="12.453125" bestFit="1" customWidth="1"/>
    <col min="1360" max="1360" width="13.54296875" bestFit="1" customWidth="1"/>
    <col min="1361" max="1361" width="8" bestFit="1" customWidth="1"/>
    <col min="1362" max="1362" width="13.54296875" bestFit="1" customWidth="1"/>
    <col min="1363" max="1363" width="8" bestFit="1" customWidth="1"/>
    <col min="1364" max="1364" width="13.54296875" bestFit="1" customWidth="1"/>
    <col min="1365" max="1365" width="10.36328125" bestFit="1" customWidth="1"/>
    <col min="1366" max="1366" width="13.54296875" bestFit="1" customWidth="1"/>
    <col min="1367" max="1367" width="8" bestFit="1" customWidth="1"/>
    <col min="1368" max="1368" width="13.54296875" bestFit="1" customWidth="1"/>
    <col min="1369" max="1369" width="10.36328125" bestFit="1" customWidth="1"/>
    <col min="1370" max="1370" width="13.54296875" bestFit="1" customWidth="1"/>
    <col min="1371" max="1371" width="12.453125" bestFit="1" customWidth="1"/>
    <col min="1372" max="1372" width="13.54296875" bestFit="1" customWidth="1"/>
    <col min="1373" max="1373" width="8" bestFit="1" customWidth="1"/>
    <col min="1374" max="1374" width="13.54296875" bestFit="1" customWidth="1"/>
    <col min="1375" max="1375" width="10.36328125" bestFit="1" customWidth="1"/>
    <col min="1376" max="1376" width="13.54296875" bestFit="1" customWidth="1"/>
    <col min="1377" max="1377" width="10.36328125" bestFit="1" customWidth="1"/>
    <col min="1378" max="1378" width="13.54296875" bestFit="1" customWidth="1"/>
    <col min="1379" max="1379" width="8" bestFit="1" customWidth="1"/>
    <col min="1380" max="1380" width="13.54296875" bestFit="1" customWidth="1"/>
    <col min="1381" max="1381" width="10.36328125" bestFit="1" customWidth="1"/>
    <col min="1382" max="1382" width="13.54296875" bestFit="1" customWidth="1"/>
    <col min="1383" max="1383" width="12.453125" bestFit="1" customWidth="1"/>
    <col min="1384" max="1384" width="13.54296875" bestFit="1" customWidth="1"/>
    <col min="1385" max="1385" width="10.36328125" bestFit="1" customWidth="1"/>
    <col min="1386" max="1386" width="13.54296875" bestFit="1" customWidth="1"/>
    <col min="1387" max="1387" width="12.453125" bestFit="1" customWidth="1"/>
    <col min="1388" max="1388" width="13.54296875" bestFit="1" customWidth="1"/>
    <col min="1389" max="1389" width="10.36328125" bestFit="1" customWidth="1"/>
    <col min="1390" max="1390" width="13.54296875" bestFit="1" customWidth="1"/>
    <col min="1391" max="1391" width="8" bestFit="1" customWidth="1"/>
    <col min="1392" max="1392" width="13.54296875" bestFit="1" customWidth="1"/>
    <col min="1393" max="1393" width="12.453125" bestFit="1" customWidth="1"/>
    <col min="1394" max="1394" width="13.54296875" bestFit="1" customWidth="1"/>
    <col min="1395" max="1395" width="10.36328125" bestFit="1" customWidth="1"/>
    <col min="1396" max="1396" width="13.54296875" bestFit="1" customWidth="1"/>
    <col min="1397" max="1397" width="10.36328125" bestFit="1" customWidth="1"/>
    <col min="1398" max="1398" width="13.54296875" bestFit="1" customWidth="1"/>
    <col min="1399" max="1399" width="12.453125" bestFit="1" customWidth="1"/>
    <col min="1400" max="1400" width="13.54296875" bestFit="1" customWidth="1"/>
    <col min="1401" max="1401" width="12.453125" bestFit="1" customWidth="1"/>
    <col min="1402" max="1402" width="13.54296875" bestFit="1" customWidth="1"/>
    <col min="1403" max="1403" width="10.36328125" bestFit="1" customWidth="1"/>
    <col min="1404" max="1404" width="13.54296875" bestFit="1" customWidth="1"/>
    <col min="1405" max="1405" width="10.36328125" bestFit="1" customWidth="1"/>
    <col min="1406" max="1406" width="13.54296875" bestFit="1" customWidth="1"/>
    <col min="1407" max="1407" width="8" bestFit="1" customWidth="1"/>
    <col min="1408" max="1408" width="13.54296875" bestFit="1" customWidth="1"/>
    <col min="1409" max="1409" width="8" bestFit="1" customWidth="1"/>
    <col min="1410" max="1410" width="13.54296875" bestFit="1" customWidth="1"/>
    <col min="1411" max="1411" width="10.36328125" bestFit="1" customWidth="1"/>
    <col min="1412" max="1412" width="13.54296875" bestFit="1" customWidth="1"/>
    <col min="1413" max="1413" width="10.36328125" bestFit="1" customWidth="1"/>
    <col min="1414" max="1414" width="13.54296875" bestFit="1" customWidth="1"/>
    <col min="1415" max="1415" width="12.453125" bestFit="1" customWidth="1"/>
    <col min="1416" max="1416" width="13.54296875" bestFit="1" customWidth="1"/>
    <col min="1417" max="1417" width="8" bestFit="1" customWidth="1"/>
    <col min="1418" max="1418" width="13.54296875" bestFit="1" customWidth="1"/>
    <col min="1419" max="1419" width="10.36328125" bestFit="1" customWidth="1"/>
    <col min="1420" max="1420" width="13.54296875" bestFit="1" customWidth="1"/>
    <col min="1421" max="1421" width="12.453125" bestFit="1" customWidth="1"/>
    <col min="1422" max="1422" width="13.54296875" bestFit="1" customWidth="1"/>
    <col min="1423" max="1423" width="8" bestFit="1" customWidth="1"/>
    <col min="1424" max="1424" width="13.54296875" bestFit="1" customWidth="1"/>
    <col min="1425" max="1425" width="8" bestFit="1" customWidth="1"/>
    <col min="1426" max="1426" width="13.54296875" bestFit="1" customWidth="1"/>
    <col min="1427" max="1427" width="8" bestFit="1" customWidth="1"/>
    <col min="1428" max="1428" width="13.54296875" bestFit="1" customWidth="1"/>
    <col min="1429" max="1429" width="12.453125" bestFit="1" customWidth="1"/>
    <col min="1430" max="1430" width="13.54296875" bestFit="1" customWidth="1"/>
    <col min="1431" max="1431" width="10.36328125" bestFit="1" customWidth="1"/>
    <col min="1432" max="1432" width="13.54296875" bestFit="1" customWidth="1"/>
    <col min="1433" max="1433" width="10.36328125" bestFit="1" customWidth="1"/>
    <col min="1434" max="1434" width="13.54296875" bestFit="1" customWidth="1"/>
    <col min="1435" max="1435" width="10.36328125" bestFit="1" customWidth="1"/>
    <col min="1436" max="1436" width="13.54296875" bestFit="1" customWidth="1"/>
    <col min="1437" max="1437" width="8" bestFit="1" customWidth="1"/>
    <col min="1438" max="1438" width="13.54296875" bestFit="1" customWidth="1"/>
    <col min="1439" max="1439" width="12.453125" bestFit="1" customWidth="1"/>
    <col min="1440" max="1440" width="13.54296875" bestFit="1" customWidth="1"/>
    <col min="1441" max="1441" width="10.36328125" bestFit="1" customWidth="1"/>
    <col min="1442" max="1442" width="13.54296875" bestFit="1" customWidth="1"/>
    <col min="1443" max="1443" width="10.36328125" bestFit="1" customWidth="1"/>
    <col min="1444" max="1444" width="13.54296875" bestFit="1" customWidth="1"/>
    <col min="1445" max="1445" width="10.36328125" bestFit="1" customWidth="1"/>
    <col min="1446" max="1446" width="13.54296875" bestFit="1" customWidth="1"/>
    <col min="1447" max="1447" width="12.453125" bestFit="1" customWidth="1"/>
    <col min="1448" max="1448" width="13.54296875" bestFit="1" customWidth="1"/>
    <col min="1449" max="1449" width="8" bestFit="1" customWidth="1"/>
    <col min="1450" max="1450" width="13.54296875" bestFit="1" customWidth="1"/>
    <col min="1451" max="1451" width="12.453125" bestFit="1" customWidth="1"/>
    <col min="1452" max="1452" width="13.54296875" bestFit="1" customWidth="1"/>
    <col min="1453" max="1453" width="8" bestFit="1" customWidth="1"/>
    <col min="1454" max="1454" width="13.54296875" bestFit="1" customWidth="1"/>
    <col min="1455" max="1455" width="10.36328125" bestFit="1" customWidth="1"/>
    <col min="1456" max="1456" width="13.54296875" bestFit="1" customWidth="1"/>
    <col min="1457" max="1457" width="10.36328125" bestFit="1" customWidth="1"/>
    <col min="1458" max="1458" width="13.54296875" bestFit="1" customWidth="1"/>
    <col min="1459" max="1459" width="12.453125" bestFit="1" customWidth="1"/>
    <col min="1460" max="1460" width="13.54296875" bestFit="1" customWidth="1"/>
    <col min="1461" max="1461" width="12.453125" bestFit="1" customWidth="1"/>
    <col min="1462" max="1462" width="13.54296875" bestFit="1" customWidth="1"/>
    <col min="1463" max="1463" width="12.453125" bestFit="1" customWidth="1"/>
    <col min="1464" max="1464" width="13.54296875" bestFit="1" customWidth="1"/>
    <col min="1465" max="1465" width="10.36328125" bestFit="1" customWidth="1"/>
    <col min="1466" max="1466" width="13.54296875" bestFit="1" customWidth="1"/>
    <col min="1467" max="1467" width="10.36328125" bestFit="1" customWidth="1"/>
    <col min="1468" max="1468" width="13.54296875" bestFit="1" customWidth="1"/>
    <col min="1469" max="1469" width="8" bestFit="1" customWidth="1"/>
    <col min="1470" max="1470" width="13.54296875" bestFit="1" customWidth="1"/>
    <col min="1471" max="1471" width="8" bestFit="1" customWidth="1"/>
    <col min="1472" max="1472" width="13.54296875" bestFit="1" customWidth="1"/>
    <col min="1473" max="1473" width="12.453125" bestFit="1" customWidth="1"/>
    <col min="1474" max="1474" width="13.54296875" bestFit="1" customWidth="1"/>
    <col min="1475" max="1475" width="10.36328125" bestFit="1" customWidth="1"/>
    <col min="1476" max="1476" width="13.54296875" bestFit="1" customWidth="1"/>
    <col min="1477" max="1477" width="10.36328125" bestFit="1" customWidth="1"/>
    <col min="1478" max="1478" width="13.54296875" bestFit="1" customWidth="1"/>
    <col min="1479" max="1479" width="10.36328125" bestFit="1" customWidth="1"/>
    <col min="1480" max="1480" width="13.54296875" bestFit="1" customWidth="1"/>
    <col min="1481" max="1481" width="8" bestFit="1" customWidth="1"/>
    <col min="1482" max="1482" width="13.54296875" bestFit="1" customWidth="1"/>
    <col min="1483" max="1483" width="10.36328125" bestFit="1" customWidth="1"/>
    <col min="1484" max="1484" width="13.54296875" bestFit="1" customWidth="1"/>
    <col min="1485" max="1485" width="8" bestFit="1" customWidth="1"/>
    <col min="1486" max="1486" width="13.54296875" bestFit="1" customWidth="1"/>
    <col min="1487" max="1487" width="12.453125" bestFit="1" customWidth="1"/>
    <col min="1488" max="1488" width="13.54296875" bestFit="1" customWidth="1"/>
    <col min="1489" max="1489" width="10.36328125" bestFit="1" customWidth="1"/>
    <col min="1490" max="1490" width="13.54296875" bestFit="1" customWidth="1"/>
    <col min="1491" max="1491" width="8" bestFit="1" customWidth="1"/>
    <col min="1492" max="1492" width="13.54296875" bestFit="1" customWidth="1"/>
    <col min="1493" max="1493" width="8" bestFit="1" customWidth="1"/>
    <col min="1494" max="1494" width="13.54296875" bestFit="1" customWidth="1"/>
    <col min="1495" max="1495" width="10.36328125" bestFit="1" customWidth="1"/>
    <col min="1496" max="1496" width="13.54296875" bestFit="1" customWidth="1"/>
    <col min="1497" max="1497" width="10.36328125" bestFit="1" customWidth="1"/>
    <col min="1498" max="1498" width="13.54296875" bestFit="1" customWidth="1"/>
    <col min="1499" max="1499" width="12.453125" bestFit="1" customWidth="1"/>
    <col min="1500" max="1500" width="13.54296875" bestFit="1" customWidth="1"/>
    <col min="1501" max="1501" width="12.453125" bestFit="1" customWidth="1"/>
    <col min="1502" max="1502" width="13.54296875" bestFit="1" customWidth="1"/>
    <col min="1503" max="1503" width="10.36328125" bestFit="1" customWidth="1"/>
    <col min="1504" max="1504" width="13.54296875" bestFit="1" customWidth="1"/>
    <col min="1505" max="1505" width="10.36328125" bestFit="1" customWidth="1"/>
    <col min="1506" max="1506" width="13.54296875" bestFit="1" customWidth="1"/>
    <col min="1507" max="1507" width="8" bestFit="1" customWidth="1"/>
    <col min="1508" max="1508" width="13.54296875" bestFit="1" customWidth="1"/>
    <col min="1509" max="1509" width="10.36328125" bestFit="1" customWidth="1"/>
    <col min="1510" max="1510" width="13.54296875" bestFit="1" customWidth="1"/>
    <col min="1511" max="1511" width="8" bestFit="1" customWidth="1"/>
    <col min="1512" max="1512" width="13.54296875" bestFit="1" customWidth="1"/>
    <col min="1513" max="1513" width="12.453125" bestFit="1" customWidth="1"/>
    <col min="1514" max="1514" width="13.54296875" bestFit="1" customWidth="1"/>
    <col min="1515" max="1515" width="12.453125" bestFit="1" customWidth="1"/>
    <col min="1516" max="1516" width="13.54296875" bestFit="1" customWidth="1"/>
    <col min="1517" max="1517" width="10.36328125" bestFit="1" customWidth="1"/>
    <col min="1518" max="1518" width="13.54296875" bestFit="1" customWidth="1"/>
    <col min="1519" max="1519" width="8" bestFit="1" customWidth="1"/>
    <col min="1520" max="1520" width="13.54296875" bestFit="1" customWidth="1"/>
    <col min="1521" max="1521" width="12.453125" bestFit="1" customWidth="1"/>
    <col min="1522" max="1522" width="13.54296875" bestFit="1" customWidth="1"/>
    <col min="1523" max="1523" width="12.453125" bestFit="1" customWidth="1"/>
    <col min="1524" max="1524" width="13.54296875" bestFit="1" customWidth="1"/>
    <col min="1525" max="1525" width="10.36328125" bestFit="1" customWidth="1"/>
    <col min="1526" max="1526" width="13.54296875" bestFit="1" customWidth="1"/>
    <col min="1527" max="1527" width="12.453125" bestFit="1" customWidth="1"/>
    <col min="1528" max="1528" width="13.54296875" bestFit="1" customWidth="1"/>
    <col min="1529" max="1529" width="12.453125" bestFit="1" customWidth="1"/>
    <col min="1530" max="1530" width="13.54296875" bestFit="1" customWidth="1"/>
    <col min="1531" max="1531" width="10.36328125" bestFit="1" customWidth="1"/>
    <col min="1532" max="1532" width="13.54296875" bestFit="1" customWidth="1"/>
    <col min="1533" max="1533" width="10.36328125" bestFit="1" customWidth="1"/>
    <col min="1534" max="1534" width="13.54296875" bestFit="1" customWidth="1"/>
    <col min="1535" max="1535" width="12.453125" bestFit="1" customWidth="1"/>
    <col min="1536" max="1536" width="13.54296875" bestFit="1" customWidth="1"/>
    <col min="1537" max="1537" width="10.36328125" bestFit="1" customWidth="1"/>
    <col min="1538" max="1538" width="13.54296875" bestFit="1" customWidth="1"/>
    <col min="1539" max="1539" width="10.36328125" bestFit="1" customWidth="1"/>
    <col min="1540" max="1540" width="13.54296875" bestFit="1" customWidth="1"/>
    <col min="1541" max="1541" width="8" bestFit="1" customWidth="1"/>
    <col min="1542" max="1542" width="13.54296875" bestFit="1" customWidth="1"/>
    <col min="1543" max="1543" width="10.36328125" bestFit="1" customWidth="1"/>
    <col min="1544" max="1544" width="13.54296875" bestFit="1" customWidth="1"/>
    <col min="1545" max="1545" width="10.36328125" bestFit="1" customWidth="1"/>
    <col min="1546" max="1546" width="13.54296875" bestFit="1" customWidth="1"/>
    <col min="1547" max="1547" width="12.453125" bestFit="1" customWidth="1"/>
    <col min="1548" max="1548" width="13.54296875" bestFit="1" customWidth="1"/>
    <col min="1549" max="1549" width="10.36328125" bestFit="1" customWidth="1"/>
    <col min="1550" max="1550" width="13.54296875" bestFit="1" customWidth="1"/>
    <col min="1551" max="1551" width="8" bestFit="1" customWidth="1"/>
    <col min="1552" max="1552" width="13.54296875" bestFit="1" customWidth="1"/>
    <col min="1553" max="1553" width="12.453125" bestFit="1" customWidth="1"/>
    <col min="1554" max="1554" width="13.54296875" bestFit="1" customWidth="1"/>
    <col min="1555" max="1555" width="10.36328125" bestFit="1" customWidth="1"/>
    <col min="1556" max="1556" width="13.54296875" bestFit="1" customWidth="1"/>
    <col min="1557" max="1557" width="10.36328125" bestFit="1" customWidth="1"/>
    <col min="1558" max="1558" width="13.54296875" bestFit="1" customWidth="1"/>
    <col min="1559" max="1559" width="12.453125" bestFit="1" customWidth="1"/>
    <col min="1560" max="1560" width="13.54296875" bestFit="1" customWidth="1"/>
    <col min="1561" max="1561" width="8" bestFit="1" customWidth="1"/>
    <col min="1562" max="1562" width="13.54296875" bestFit="1" customWidth="1"/>
    <col min="1563" max="1563" width="8" bestFit="1" customWidth="1"/>
    <col min="1564" max="1564" width="13.54296875" bestFit="1" customWidth="1"/>
    <col min="1565" max="1565" width="10.36328125" bestFit="1" customWidth="1"/>
    <col min="1566" max="1566" width="13.54296875" bestFit="1" customWidth="1"/>
    <col min="1567" max="1567" width="12.453125" bestFit="1" customWidth="1"/>
    <col min="1568" max="1568" width="13.54296875" bestFit="1" customWidth="1"/>
    <col min="1569" max="1569" width="10.36328125" bestFit="1" customWidth="1"/>
    <col min="1570" max="1570" width="13.54296875" bestFit="1" customWidth="1"/>
    <col min="1571" max="1571" width="10.36328125" bestFit="1" customWidth="1"/>
    <col min="1572" max="1572" width="13.54296875" bestFit="1" customWidth="1"/>
    <col min="1573" max="1573" width="8" bestFit="1" customWidth="1"/>
    <col min="1574" max="1574" width="13.54296875" bestFit="1" customWidth="1"/>
    <col min="1575" max="1575" width="8" bestFit="1" customWidth="1"/>
    <col min="1576" max="1576" width="13.54296875" bestFit="1" customWidth="1"/>
    <col min="1577" max="1577" width="12.453125" bestFit="1" customWidth="1"/>
    <col min="1578" max="1578" width="13.54296875" bestFit="1" customWidth="1"/>
    <col min="1579" max="1579" width="12.453125" bestFit="1" customWidth="1"/>
    <col min="1580" max="1580" width="13.54296875" bestFit="1" customWidth="1"/>
    <col min="1581" max="1581" width="12.453125" bestFit="1" customWidth="1"/>
    <col min="1582" max="1582" width="13.54296875" bestFit="1" customWidth="1"/>
    <col min="1583" max="1583" width="12.453125" bestFit="1" customWidth="1"/>
    <col min="1584" max="1584" width="13.54296875" bestFit="1" customWidth="1"/>
    <col min="1585" max="1585" width="10.36328125" bestFit="1" customWidth="1"/>
    <col min="1586" max="1586" width="13.54296875" bestFit="1" customWidth="1"/>
    <col min="1587" max="1587" width="8" bestFit="1" customWidth="1"/>
    <col min="1588" max="1588" width="13.54296875" bestFit="1" customWidth="1"/>
    <col min="1589" max="1589" width="12.453125" bestFit="1" customWidth="1"/>
    <col min="1590" max="1590" width="13.54296875" bestFit="1" customWidth="1"/>
    <col min="1591" max="1591" width="10.36328125" bestFit="1" customWidth="1"/>
    <col min="1592" max="1592" width="13.54296875" bestFit="1" customWidth="1"/>
    <col min="1593" max="1593" width="12.453125" bestFit="1" customWidth="1"/>
    <col min="1594" max="1594" width="13.54296875" bestFit="1" customWidth="1"/>
    <col min="1595" max="1595" width="10.36328125" bestFit="1" customWidth="1"/>
    <col min="1596" max="1596" width="13.54296875" bestFit="1" customWidth="1"/>
    <col min="1597" max="1597" width="12.453125" bestFit="1" customWidth="1"/>
    <col min="1598" max="1598" width="4.90625" bestFit="1" customWidth="1"/>
    <col min="1599" max="1599" width="13.54296875" bestFit="1" customWidth="1"/>
    <col min="1600" max="1600" width="10.36328125" bestFit="1" customWidth="1"/>
    <col min="1601" max="1601" width="13.54296875" bestFit="1" customWidth="1"/>
    <col min="1602" max="1602" width="10.36328125" bestFit="1" customWidth="1"/>
    <col min="1603" max="1603" width="13.54296875" bestFit="1" customWidth="1"/>
    <col min="1604" max="1604" width="10.36328125" bestFit="1" customWidth="1"/>
    <col min="1605" max="1605" width="13.54296875" bestFit="1" customWidth="1"/>
    <col min="1606" max="1606" width="8" bestFit="1" customWidth="1"/>
    <col min="1607" max="1607" width="13.54296875" bestFit="1" customWidth="1"/>
    <col min="1608" max="1608" width="12.453125" bestFit="1" customWidth="1"/>
    <col min="1609" max="1609" width="13.54296875" bestFit="1" customWidth="1"/>
    <col min="1610" max="1610" width="8" bestFit="1" customWidth="1"/>
    <col min="1611" max="1611" width="13.54296875" bestFit="1" customWidth="1"/>
    <col min="1612" max="1612" width="10.36328125" bestFit="1" customWidth="1"/>
    <col min="1613" max="1613" width="13.54296875" bestFit="1" customWidth="1"/>
    <col min="1614" max="1614" width="8" bestFit="1" customWidth="1"/>
    <col min="1615" max="1615" width="13.54296875" bestFit="1" customWidth="1"/>
    <col min="1616" max="1616" width="8" bestFit="1" customWidth="1"/>
    <col min="1617" max="1617" width="13.54296875" bestFit="1" customWidth="1"/>
    <col min="1618" max="1618" width="8" bestFit="1" customWidth="1"/>
    <col min="1619" max="1619" width="13.54296875" bestFit="1" customWidth="1"/>
    <col min="1620" max="1620" width="10.36328125" bestFit="1" customWidth="1"/>
    <col min="1621" max="1621" width="13.54296875" bestFit="1" customWidth="1"/>
    <col min="1622" max="1622" width="12.453125" bestFit="1" customWidth="1"/>
    <col min="1623" max="1623" width="13.54296875" bestFit="1" customWidth="1"/>
    <col min="1624" max="1624" width="12.453125" bestFit="1" customWidth="1"/>
    <col min="1625" max="1625" width="13.54296875" bestFit="1" customWidth="1"/>
    <col min="1626" max="1626" width="12.453125" bestFit="1" customWidth="1"/>
    <col min="1627" max="1627" width="13.54296875" bestFit="1" customWidth="1"/>
    <col min="1628" max="1628" width="8" bestFit="1" customWidth="1"/>
    <col min="1629" max="1629" width="13.54296875" bestFit="1" customWidth="1"/>
    <col min="1630" max="1630" width="8" bestFit="1" customWidth="1"/>
    <col min="1631" max="1631" width="13.54296875" bestFit="1" customWidth="1"/>
    <col min="1632" max="1632" width="12.453125" bestFit="1" customWidth="1"/>
    <col min="1633" max="1633" width="13.54296875" bestFit="1" customWidth="1"/>
    <col min="1634" max="1634" width="8" bestFit="1" customWidth="1"/>
    <col min="1635" max="1635" width="13.54296875" bestFit="1" customWidth="1"/>
    <col min="1636" max="1636" width="10.36328125" bestFit="1" customWidth="1"/>
    <col min="1637" max="1637" width="13.54296875" bestFit="1" customWidth="1"/>
    <col min="1638" max="1638" width="8" bestFit="1" customWidth="1"/>
    <col min="1639" max="1639" width="13.54296875" bestFit="1" customWidth="1"/>
    <col min="1640" max="1640" width="8" bestFit="1" customWidth="1"/>
    <col min="1641" max="1641" width="13.54296875" bestFit="1" customWidth="1"/>
    <col min="1642" max="1642" width="10.36328125" bestFit="1" customWidth="1"/>
    <col min="1643" max="1643" width="13.54296875" bestFit="1" customWidth="1"/>
    <col min="1644" max="1644" width="8" bestFit="1" customWidth="1"/>
    <col min="1645" max="1645" width="13.54296875" bestFit="1" customWidth="1"/>
    <col min="1646" max="1646" width="12.453125" bestFit="1" customWidth="1"/>
    <col min="1647" max="1647" width="13.54296875" bestFit="1" customWidth="1"/>
    <col min="1648" max="1648" width="10.36328125" bestFit="1" customWidth="1"/>
    <col min="1649" max="1649" width="13.54296875" bestFit="1" customWidth="1"/>
    <col min="1650" max="1650" width="12.453125" bestFit="1" customWidth="1"/>
    <col min="1651" max="1651" width="13.54296875" bestFit="1" customWidth="1"/>
    <col min="1652" max="1652" width="8" bestFit="1" customWidth="1"/>
    <col min="1653" max="1653" width="13.54296875" bestFit="1" customWidth="1"/>
    <col min="1654" max="1654" width="8" bestFit="1" customWidth="1"/>
    <col min="1655" max="1655" width="13.54296875" bestFit="1" customWidth="1"/>
    <col min="1656" max="1656" width="10.36328125" bestFit="1" customWidth="1"/>
    <col min="1657" max="1657" width="13.54296875" bestFit="1" customWidth="1"/>
    <col min="1658" max="1658" width="10.36328125" bestFit="1" customWidth="1"/>
    <col min="1659" max="1659" width="13.54296875" bestFit="1" customWidth="1"/>
    <col min="1660" max="1660" width="12.453125" bestFit="1" customWidth="1"/>
    <col min="1661" max="1661" width="13.54296875" bestFit="1" customWidth="1"/>
    <col min="1662" max="1662" width="12.453125" bestFit="1" customWidth="1"/>
    <col min="1663" max="1663" width="13.54296875" bestFit="1" customWidth="1"/>
    <col min="1664" max="1664" width="12.453125" bestFit="1" customWidth="1"/>
    <col min="1665" max="1665" width="13.54296875" bestFit="1" customWidth="1"/>
    <col min="1666" max="1666" width="8" bestFit="1" customWidth="1"/>
    <col min="1667" max="1667" width="13.54296875" bestFit="1" customWidth="1"/>
    <col min="1668" max="1668" width="12.453125" bestFit="1" customWidth="1"/>
    <col min="1669" max="1669" width="13.54296875" bestFit="1" customWidth="1"/>
    <col min="1670" max="1670" width="8" bestFit="1" customWidth="1"/>
    <col min="1671" max="1671" width="13.54296875" bestFit="1" customWidth="1"/>
    <col min="1672" max="1672" width="10.36328125" bestFit="1" customWidth="1"/>
    <col min="1673" max="1673" width="13.54296875" bestFit="1" customWidth="1"/>
    <col min="1674" max="1674" width="12.453125" bestFit="1" customWidth="1"/>
    <col min="1675" max="1675" width="13.54296875" bestFit="1" customWidth="1"/>
    <col min="1676" max="1676" width="8" bestFit="1" customWidth="1"/>
    <col min="1677" max="1677" width="13.54296875" bestFit="1" customWidth="1"/>
    <col min="1678" max="1678" width="10.36328125" bestFit="1" customWidth="1"/>
    <col min="1679" max="1679" width="13.54296875" bestFit="1" customWidth="1"/>
    <col min="1680" max="1680" width="12.453125" bestFit="1" customWidth="1"/>
    <col min="1681" max="1681" width="13.54296875" bestFit="1" customWidth="1"/>
    <col min="1682" max="1682" width="8" bestFit="1" customWidth="1"/>
    <col min="1683" max="1683" width="13.54296875" bestFit="1" customWidth="1"/>
    <col min="1684" max="1684" width="8" bestFit="1" customWidth="1"/>
    <col min="1685" max="1685" width="13.54296875" bestFit="1" customWidth="1"/>
    <col min="1686" max="1686" width="8" bestFit="1" customWidth="1"/>
    <col min="1687" max="1687" width="13.54296875" bestFit="1" customWidth="1"/>
    <col min="1688" max="1688" width="10.36328125" bestFit="1" customWidth="1"/>
    <col min="1689" max="1689" width="13.54296875" bestFit="1" customWidth="1"/>
    <col min="1690" max="1690" width="8" bestFit="1" customWidth="1"/>
    <col min="1691" max="1691" width="13.54296875" bestFit="1" customWidth="1"/>
    <col min="1692" max="1692" width="12.453125" bestFit="1" customWidth="1"/>
    <col min="1693" max="1693" width="13.54296875" bestFit="1" customWidth="1"/>
    <col min="1694" max="1694" width="12.453125" bestFit="1" customWidth="1"/>
    <col min="1695" max="1695" width="13.54296875" bestFit="1" customWidth="1"/>
    <col min="1696" max="1696" width="8" bestFit="1" customWidth="1"/>
    <col min="1697" max="1697" width="13.54296875" bestFit="1" customWidth="1"/>
    <col min="1698" max="1698" width="8" bestFit="1" customWidth="1"/>
    <col min="1699" max="1699" width="13.54296875" bestFit="1" customWidth="1"/>
    <col min="1700" max="1700" width="12.453125" bestFit="1" customWidth="1"/>
    <col min="1701" max="1701" width="13.54296875" bestFit="1" customWidth="1"/>
    <col min="1702" max="1702" width="8" bestFit="1" customWidth="1"/>
    <col min="1703" max="1703" width="13.54296875" bestFit="1" customWidth="1"/>
    <col min="1704" max="1704" width="8" bestFit="1" customWidth="1"/>
    <col min="1705" max="1705" width="13.54296875" bestFit="1" customWidth="1"/>
    <col min="1706" max="1706" width="10.36328125" bestFit="1" customWidth="1"/>
    <col min="1707" max="1707" width="13.54296875" bestFit="1" customWidth="1"/>
    <col min="1708" max="1708" width="12.453125" bestFit="1" customWidth="1"/>
    <col min="1709" max="1709" width="13.54296875" bestFit="1" customWidth="1"/>
    <col min="1710" max="1710" width="12.453125" bestFit="1" customWidth="1"/>
    <col min="1711" max="1711" width="13.54296875" bestFit="1" customWidth="1"/>
    <col min="1712" max="1712" width="10.36328125" bestFit="1" customWidth="1"/>
    <col min="1713" max="1713" width="13.54296875" bestFit="1" customWidth="1"/>
    <col min="1714" max="1714" width="8" bestFit="1" customWidth="1"/>
    <col min="1715" max="1715" width="13.54296875" bestFit="1" customWidth="1"/>
    <col min="1716" max="1716" width="8" bestFit="1" customWidth="1"/>
    <col min="1717" max="1717" width="13.54296875" bestFit="1" customWidth="1"/>
    <col min="1718" max="1718" width="8" bestFit="1" customWidth="1"/>
    <col min="1719" max="1719" width="13.54296875" bestFit="1" customWidth="1"/>
    <col min="1720" max="1720" width="8" bestFit="1" customWidth="1"/>
    <col min="1721" max="1721" width="13.54296875" bestFit="1" customWidth="1"/>
    <col min="1722" max="1722" width="12.453125" bestFit="1" customWidth="1"/>
    <col min="1723" max="1723" width="13.54296875" bestFit="1" customWidth="1"/>
    <col min="1724" max="1724" width="12.453125" bestFit="1" customWidth="1"/>
    <col min="1725" max="1725" width="13.54296875" bestFit="1" customWidth="1"/>
    <col min="1726" max="1726" width="12.453125" bestFit="1" customWidth="1"/>
    <col min="1727" max="1727" width="13.54296875" bestFit="1" customWidth="1"/>
    <col min="1728" max="1728" width="8" bestFit="1" customWidth="1"/>
    <col min="1729" max="1729" width="13.54296875" bestFit="1" customWidth="1"/>
    <col min="1730" max="1730" width="10.36328125" bestFit="1" customWidth="1"/>
    <col min="1731" max="1731" width="13.54296875" bestFit="1" customWidth="1"/>
    <col min="1732" max="1732" width="12.453125" bestFit="1" customWidth="1"/>
    <col min="1733" max="1733" width="13.54296875" bestFit="1" customWidth="1"/>
    <col min="1734" max="1734" width="8" bestFit="1" customWidth="1"/>
    <col min="1735" max="1735" width="13.54296875" bestFit="1" customWidth="1"/>
    <col min="1736" max="1736" width="10.36328125" bestFit="1" customWidth="1"/>
    <col min="1737" max="1737" width="13.54296875" bestFit="1" customWidth="1"/>
    <col min="1738" max="1738" width="12.453125" bestFit="1" customWidth="1"/>
    <col min="1739" max="1739" width="13.54296875" bestFit="1" customWidth="1"/>
    <col min="1740" max="1740" width="10.36328125" bestFit="1" customWidth="1"/>
    <col min="1741" max="1741" width="13.54296875" bestFit="1" customWidth="1"/>
    <col min="1742" max="1742" width="10.36328125" bestFit="1" customWidth="1"/>
    <col min="1743" max="1743" width="13.54296875" bestFit="1" customWidth="1"/>
    <col min="1744" max="1744" width="8" bestFit="1" customWidth="1"/>
    <col min="1745" max="1745" width="13.54296875" bestFit="1" customWidth="1"/>
    <col min="1746" max="1746" width="12.453125" bestFit="1" customWidth="1"/>
    <col min="1747" max="1747" width="13.54296875" bestFit="1" customWidth="1"/>
    <col min="1748" max="1748" width="10.36328125" bestFit="1" customWidth="1"/>
    <col min="1749" max="1749" width="13.54296875" bestFit="1" customWidth="1"/>
    <col min="1750" max="1750" width="10.36328125" bestFit="1" customWidth="1"/>
    <col min="1751" max="1751" width="13.54296875" bestFit="1" customWidth="1"/>
    <col min="1752" max="1752" width="10.36328125" bestFit="1" customWidth="1"/>
    <col min="1753" max="1753" width="13.54296875" bestFit="1" customWidth="1"/>
    <col min="1754" max="1754" width="10.36328125" bestFit="1" customWidth="1"/>
    <col min="1755" max="1755" width="13.54296875" bestFit="1" customWidth="1"/>
    <col min="1756" max="1756" width="12.453125" bestFit="1" customWidth="1"/>
    <col min="1757" max="1757" width="13.54296875" bestFit="1" customWidth="1"/>
    <col min="1758" max="1758" width="12.453125" bestFit="1" customWidth="1"/>
    <col min="1759" max="1759" width="13.54296875" bestFit="1" customWidth="1"/>
    <col min="1760" max="1760" width="12.453125" bestFit="1" customWidth="1"/>
    <col min="1761" max="1761" width="13.54296875" bestFit="1" customWidth="1"/>
    <col min="1762" max="1762" width="10.36328125" bestFit="1" customWidth="1"/>
    <col min="1763" max="1763" width="13.54296875" bestFit="1" customWidth="1"/>
    <col min="1764" max="1764" width="12.453125" bestFit="1" customWidth="1"/>
    <col min="1765" max="1765" width="13.54296875" bestFit="1" customWidth="1"/>
    <col min="1766" max="1766" width="8" bestFit="1" customWidth="1"/>
    <col min="1767" max="1767" width="13.54296875" bestFit="1" customWidth="1"/>
    <col min="1768" max="1768" width="10.36328125" bestFit="1" customWidth="1"/>
    <col min="1769" max="1769" width="13.54296875" bestFit="1" customWidth="1"/>
    <col min="1770" max="1770" width="12.453125" bestFit="1" customWidth="1"/>
    <col min="1771" max="1771" width="13.54296875" bestFit="1" customWidth="1"/>
    <col min="1772" max="1772" width="8" bestFit="1" customWidth="1"/>
    <col min="1773" max="1773" width="13.54296875" bestFit="1" customWidth="1"/>
    <col min="1774" max="1774" width="10.36328125" bestFit="1" customWidth="1"/>
    <col min="1775" max="1775" width="13.54296875" bestFit="1" customWidth="1"/>
    <col min="1776" max="1776" width="10.36328125" bestFit="1" customWidth="1"/>
    <col min="1777" max="1777" width="13.54296875" bestFit="1" customWidth="1"/>
    <col min="1778" max="1778" width="12.453125" bestFit="1" customWidth="1"/>
    <col min="1779" max="1779" width="13.54296875" bestFit="1" customWidth="1"/>
    <col min="1780" max="1780" width="12.453125" bestFit="1" customWidth="1"/>
    <col min="1781" max="1781" width="13.54296875" bestFit="1" customWidth="1"/>
    <col min="1782" max="1782" width="12.453125" bestFit="1" customWidth="1"/>
    <col min="1783" max="1783" width="13.54296875" bestFit="1" customWidth="1"/>
    <col min="1784" max="1784" width="10.36328125" bestFit="1" customWidth="1"/>
    <col min="1785" max="1785" width="13.54296875" bestFit="1" customWidth="1"/>
    <col min="1786" max="1786" width="10.36328125" bestFit="1" customWidth="1"/>
    <col min="1787" max="1787" width="13.54296875" bestFit="1" customWidth="1"/>
    <col min="1788" max="1788" width="10.36328125" bestFit="1" customWidth="1"/>
    <col min="1789" max="1789" width="13.54296875" bestFit="1" customWidth="1"/>
    <col min="1790" max="1790" width="8" bestFit="1" customWidth="1"/>
    <col min="1791" max="1791" width="13.54296875" bestFit="1" customWidth="1"/>
    <col min="1792" max="1792" width="8" bestFit="1" customWidth="1"/>
    <col min="1793" max="1793" width="13.54296875" bestFit="1" customWidth="1"/>
    <col min="1794" max="1794" width="8" bestFit="1" customWidth="1"/>
    <col min="1795" max="1795" width="13.54296875" bestFit="1" customWidth="1"/>
    <col min="1796" max="1796" width="10.36328125" bestFit="1" customWidth="1"/>
    <col min="1797" max="1797" width="13.54296875" bestFit="1" customWidth="1"/>
    <col min="1798" max="1798" width="8" bestFit="1" customWidth="1"/>
    <col min="1799" max="1799" width="13.54296875" bestFit="1" customWidth="1"/>
    <col min="1800" max="1800" width="8" bestFit="1" customWidth="1"/>
    <col min="1801" max="1801" width="13.54296875" bestFit="1" customWidth="1"/>
    <col min="1802" max="1802" width="12.453125" bestFit="1" customWidth="1"/>
    <col min="1803" max="1803" width="13.54296875" bestFit="1" customWidth="1"/>
    <col min="1804" max="1804" width="10.36328125" bestFit="1" customWidth="1"/>
    <col min="1805" max="1805" width="13.54296875" bestFit="1" customWidth="1"/>
    <col min="1806" max="1806" width="10.36328125" bestFit="1" customWidth="1"/>
    <col min="1807" max="1807" width="13.54296875" bestFit="1" customWidth="1"/>
    <col min="1808" max="1808" width="12.453125" bestFit="1" customWidth="1"/>
    <col min="1809" max="1809" width="13.54296875" bestFit="1" customWidth="1"/>
    <col min="1810" max="1810" width="12.453125" bestFit="1" customWidth="1"/>
    <col min="1811" max="1811" width="13.54296875" bestFit="1" customWidth="1"/>
    <col min="1812" max="1812" width="12.453125" bestFit="1" customWidth="1"/>
    <col min="1813" max="1813" width="13.54296875" bestFit="1" customWidth="1"/>
    <col min="1814" max="1814" width="8" bestFit="1" customWidth="1"/>
    <col min="1815" max="1815" width="13.54296875" bestFit="1" customWidth="1"/>
    <col min="1816" max="1816" width="12.453125" bestFit="1" customWidth="1"/>
    <col min="1817" max="1817" width="13.54296875" bestFit="1" customWidth="1"/>
    <col min="1818" max="1818" width="8" bestFit="1" customWidth="1"/>
    <col min="1819" max="1819" width="13.54296875" bestFit="1" customWidth="1"/>
    <col min="1820" max="1820" width="10.36328125" bestFit="1" customWidth="1"/>
    <col min="1821" max="1821" width="13.54296875" bestFit="1" customWidth="1"/>
    <col min="1822" max="1822" width="12.453125" bestFit="1" customWidth="1"/>
    <col min="1823" max="1823" width="13.54296875" bestFit="1" customWidth="1"/>
    <col min="1824" max="1824" width="8" bestFit="1" customWidth="1"/>
    <col min="1825" max="1825" width="13.54296875" bestFit="1" customWidth="1"/>
    <col min="1826" max="1826" width="10.36328125" bestFit="1" customWidth="1"/>
    <col min="1827" max="1827" width="13.54296875" bestFit="1" customWidth="1"/>
    <col min="1828" max="1828" width="8" bestFit="1" customWidth="1"/>
    <col min="1829" max="1829" width="13.54296875" bestFit="1" customWidth="1"/>
    <col min="1830" max="1830" width="12.453125" bestFit="1" customWidth="1"/>
    <col min="1831" max="1831" width="13.54296875" bestFit="1" customWidth="1"/>
    <col min="1832" max="1832" width="12.453125" bestFit="1" customWidth="1"/>
    <col min="1833" max="1833" width="13.54296875" bestFit="1" customWidth="1"/>
    <col min="1834" max="1834" width="10.36328125" bestFit="1" customWidth="1"/>
    <col min="1835" max="1835" width="13.54296875" bestFit="1" customWidth="1"/>
    <col min="1836" max="1836" width="12.453125" bestFit="1" customWidth="1"/>
    <col min="1837" max="1837" width="13.54296875" bestFit="1" customWidth="1"/>
    <col min="1838" max="1838" width="12.453125" bestFit="1" customWidth="1"/>
    <col min="1839" max="1839" width="13.54296875" bestFit="1" customWidth="1"/>
    <col min="1840" max="1840" width="12.453125" bestFit="1" customWidth="1"/>
    <col min="1841" max="1841" width="13.54296875" bestFit="1" customWidth="1"/>
    <col min="1842" max="1842" width="10.36328125" bestFit="1" customWidth="1"/>
    <col min="1843" max="1843" width="13.54296875" bestFit="1" customWidth="1"/>
    <col min="1844" max="1844" width="12.453125" bestFit="1" customWidth="1"/>
    <col min="1845" max="1845" width="13.54296875" bestFit="1" customWidth="1"/>
    <col min="1846" max="1846" width="10.36328125" bestFit="1" customWidth="1"/>
    <col min="1847" max="1847" width="13.54296875" bestFit="1" customWidth="1"/>
    <col min="1848" max="1848" width="10.36328125" bestFit="1" customWidth="1"/>
    <col min="1849" max="1849" width="13.54296875" bestFit="1" customWidth="1"/>
    <col min="1850" max="1850" width="12.453125" bestFit="1" customWidth="1"/>
    <col min="1851" max="1851" width="13.54296875" bestFit="1" customWidth="1"/>
    <col min="1852" max="1852" width="12.453125" bestFit="1" customWidth="1"/>
    <col min="1853" max="1853" width="13.54296875" bestFit="1" customWidth="1"/>
    <col min="1854" max="1854" width="12.453125" bestFit="1" customWidth="1"/>
    <col min="1855" max="1855" width="13.54296875" bestFit="1" customWidth="1"/>
    <col min="1856" max="1856" width="8" bestFit="1" customWidth="1"/>
    <col min="1857" max="1857" width="13.54296875" bestFit="1" customWidth="1"/>
    <col min="1858" max="1858" width="8" bestFit="1" customWidth="1"/>
    <col min="1859" max="1859" width="13.54296875" bestFit="1" customWidth="1"/>
    <col min="1860" max="1860" width="12.453125" bestFit="1" customWidth="1"/>
    <col min="1861" max="1861" width="13.54296875" bestFit="1" customWidth="1"/>
    <col min="1862" max="1862" width="8" bestFit="1" customWidth="1"/>
    <col min="1863" max="1863" width="13.54296875" bestFit="1" customWidth="1"/>
    <col min="1864" max="1864" width="8" bestFit="1" customWidth="1"/>
    <col min="1865" max="1865" width="13.54296875" bestFit="1" customWidth="1"/>
    <col min="1866" max="1866" width="8" bestFit="1" customWidth="1"/>
    <col min="1867" max="1867" width="13.54296875" bestFit="1" customWidth="1"/>
    <col min="1868" max="1868" width="12.453125" bestFit="1" customWidth="1"/>
    <col min="1869" max="1869" width="13.54296875" bestFit="1" customWidth="1"/>
    <col min="1870" max="1870" width="10.36328125" bestFit="1" customWidth="1"/>
    <col min="1871" max="1871" width="13.54296875" bestFit="1" customWidth="1"/>
    <col min="1872" max="1872" width="10.36328125" bestFit="1" customWidth="1"/>
    <col min="1873" max="1873" width="13.54296875" bestFit="1" customWidth="1"/>
    <col min="1874" max="1874" width="12.453125" bestFit="1" customWidth="1"/>
    <col min="1875" max="1875" width="13.54296875" bestFit="1" customWidth="1"/>
    <col min="1876" max="1876" width="12.453125" bestFit="1" customWidth="1"/>
    <col min="1877" max="1877" width="13.54296875" bestFit="1" customWidth="1"/>
    <col min="1878" max="1878" width="8" bestFit="1" customWidth="1"/>
    <col min="1879" max="1879" width="13.54296875" bestFit="1" customWidth="1"/>
    <col min="1880" max="1880" width="10.36328125" bestFit="1" customWidth="1"/>
    <col min="1881" max="1881" width="13.54296875" bestFit="1" customWidth="1"/>
    <col min="1882" max="1882" width="10.36328125" bestFit="1" customWidth="1"/>
    <col min="1883" max="1883" width="13.54296875" bestFit="1" customWidth="1"/>
    <col min="1884" max="1884" width="10.36328125" bestFit="1" customWidth="1"/>
    <col min="1885" max="1885" width="13.54296875" bestFit="1" customWidth="1"/>
    <col min="1886" max="1886" width="10.36328125" bestFit="1" customWidth="1"/>
    <col min="1887" max="1887" width="13.54296875" bestFit="1" customWidth="1"/>
    <col min="1888" max="1888" width="10.36328125" bestFit="1" customWidth="1"/>
    <col min="1889" max="1889" width="13.54296875" bestFit="1" customWidth="1"/>
    <col min="1890" max="1890" width="10.36328125" bestFit="1" customWidth="1"/>
    <col min="1891" max="1891" width="13.54296875" bestFit="1" customWidth="1"/>
    <col min="1892" max="1892" width="10.36328125" bestFit="1" customWidth="1"/>
    <col min="1893" max="1893" width="13.54296875" bestFit="1" customWidth="1"/>
    <col min="1894" max="1894" width="10.36328125" bestFit="1" customWidth="1"/>
    <col min="1895" max="1895" width="13.54296875" bestFit="1" customWidth="1"/>
    <col min="1896" max="1896" width="12.453125" bestFit="1" customWidth="1"/>
    <col min="1897" max="1897" width="13.54296875" bestFit="1" customWidth="1"/>
    <col min="1898" max="1898" width="12.453125" bestFit="1" customWidth="1"/>
    <col min="1899" max="1899" width="13.54296875" bestFit="1" customWidth="1"/>
    <col min="1900" max="1900" width="10.36328125" bestFit="1" customWidth="1"/>
    <col min="1901" max="1901" width="13.54296875" bestFit="1" customWidth="1"/>
    <col min="1902" max="1902" width="12.453125" bestFit="1" customWidth="1"/>
    <col min="1903" max="1903" width="13.54296875" bestFit="1" customWidth="1"/>
    <col min="1904" max="1904" width="8" bestFit="1" customWidth="1"/>
    <col min="1905" max="1905" width="13.54296875" bestFit="1" customWidth="1"/>
    <col min="1906" max="1906" width="10.36328125" bestFit="1" customWidth="1"/>
    <col min="1907" max="1907" width="13.54296875" bestFit="1" customWidth="1"/>
    <col min="1908" max="1908" width="10.36328125" bestFit="1" customWidth="1"/>
    <col min="1909" max="1909" width="13.54296875" bestFit="1" customWidth="1"/>
    <col min="1910" max="1910" width="8" bestFit="1" customWidth="1"/>
    <col min="1911" max="1911" width="13.54296875" bestFit="1" customWidth="1"/>
    <col min="1912" max="1912" width="12.453125" bestFit="1" customWidth="1"/>
    <col min="1913" max="1913" width="13.54296875" bestFit="1" customWidth="1"/>
    <col min="1914" max="1914" width="10.36328125" bestFit="1" customWidth="1"/>
    <col min="1915" max="1915" width="13.54296875" bestFit="1" customWidth="1"/>
    <col min="1916" max="1916" width="10.36328125" bestFit="1" customWidth="1"/>
    <col min="1917" max="1917" width="13.54296875" bestFit="1" customWidth="1"/>
    <col min="1918" max="1918" width="10.36328125" bestFit="1" customWidth="1"/>
    <col min="1919" max="1919" width="13.54296875" bestFit="1" customWidth="1"/>
    <col min="1920" max="1920" width="10.36328125" bestFit="1" customWidth="1"/>
    <col min="1921" max="1921" width="13.54296875" bestFit="1" customWidth="1"/>
    <col min="1922" max="1922" width="12.453125" bestFit="1" customWidth="1"/>
    <col min="1923" max="1923" width="13.54296875" bestFit="1" customWidth="1"/>
    <col min="1924" max="1924" width="12.453125" bestFit="1" customWidth="1"/>
    <col min="1925" max="1925" width="13.54296875" bestFit="1" customWidth="1"/>
    <col min="1926" max="1926" width="10.36328125" bestFit="1" customWidth="1"/>
    <col min="1927" max="1927" width="13.54296875" bestFit="1" customWidth="1"/>
    <col min="1928" max="1928" width="8" bestFit="1" customWidth="1"/>
    <col min="1929" max="1929" width="13.54296875" bestFit="1" customWidth="1"/>
    <col min="1930" max="1930" width="12.453125" bestFit="1" customWidth="1"/>
    <col min="1931" max="1931" width="13.54296875" bestFit="1" customWidth="1"/>
    <col min="1932" max="1932" width="12.453125" bestFit="1" customWidth="1"/>
    <col min="1933" max="1933" width="13.54296875" bestFit="1" customWidth="1"/>
    <col min="1934" max="1934" width="10.36328125" bestFit="1" customWidth="1"/>
    <col min="1935" max="1935" width="13.54296875" bestFit="1" customWidth="1"/>
    <col min="1936" max="1936" width="12.453125" bestFit="1" customWidth="1"/>
    <col min="1937" max="1937" width="13.54296875" bestFit="1" customWidth="1"/>
    <col min="1938" max="1938" width="10.36328125" bestFit="1" customWidth="1"/>
    <col min="1939" max="1939" width="13.54296875" bestFit="1" customWidth="1"/>
    <col min="1940" max="1940" width="12.453125" bestFit="1" customWidth="1"/>
    <col min="1941" max="1941" width="13.54296875" bestFit="1" customWidth="1"/>
    <col min="1942" max="1942" width="12.453125" bestFit="1" customWidth="1"/>
    <col min="1943" max="1943" width="13.54296875" bestFit="1" customWidth="1"/>
    <col min="1944" max="1944" width="12.453125" bestFit="1" customWidth="1"/>
    <col min="1945" max="1945" width="13.54296875" bestFit="1" customWidth="1"/>
    <col min="1946" max="1946" width="8" bestFit="1" customWidth="1"/>
    <col min="1947" max="1947" width="13.54296875" bestFit="1" customWidth="1"/>
    <col min="1948" max="1948" width="8" bestFit="1" customWidth="1"/>
    <col min="1949" max="1949" width="13.54296875" bestFit="1" customWidth="1"/>
    <col min="1950" max="1950" width="10.36328125" bestFit="1" customWidth="1"/>
    <col min="1951" max="1951" width="13.54296875" bestFit="1" customWidth="1"/>
    <col min="1952" max="1952" width="10.36328125" bestFit="1" customWidth="1"/>
    <col min="1953" max="1953" width="13.54296875" bestFit="1" customWidth="1"/>
    <col min="1954" max="1954" width="12.453125" bestFit="1" customWidth="1"/>
    <col min="1955" max="1955" width="13.54296875" bestFit="1" customWidth="1"/>
    <col min="1956" max="1956" width="12.453125" bestFit="1" customWidth="1"/>
    <col min="1957" max="1957" width="13.54296875" bestFit="1" customWidth="1"/>
    <col min="1958" max="1958" width="12.453125" bestFit="1" customWidth="1"/>
    <col min="1959" max="1959" width="13.54296875" bestFit="1" customWidth="1"/>
    <col min="1960" max="1960" width="12.453125" bestFit="1" customWidth="1"/>
    <col min="1961" max="1961" width="13.54296875" bestFit="1" customWidth="1"/>
    <col min="1962" max="1962" width="12.453125" bestFit="1" customWidth="1"/>
    <col min="1963" max="1963" width="13.54296875" bestFit="1" customWidth="1"/>
    <col min="1964" max="1964" width="10.36328125" bestFit="1" customWidth="1"/>
    <col min="1965" max="1965" width="13.54296875" bestFit="1" customWidth="1"/>
    <col min="1966" max="1966" width="10.36328125" bestFit="1" customWidth="1"/>
    <col min="1967" max="1967" width="13.54296875" bestFit="1" customWidth="1"/>
    <col min="1968" max="1968" width="10.36328125" bestFit="1" customWidth="1"/>
    <col min="1969" max="1969" width="13.54296875" bestFit="1" customWidth="1"/>
    <col min="1970" max="1970" width="8" bestFit="1" customWidth="1"/>
    <col min="1971" max="1971" width="13.54296875" bestFit="1" customWidth="1"/>
    <col min="1972" max="1972" width="12.453125" bestFit="1" customWidth="1"/>
    <col min="1973" max="1973" width="13.54296875" bestFit="1" customWidth="1"/>
    <col min="1974" max="1974" width="12.453125" bestFit="1" customWidth="1"/>
    <col min="1975" max="1975" width="13.54296875" bestFit="1" customWidth="1"/>
    <col min="1976" max="1976" width="10.36328125" bestFit="1" customWidth="1"/>
    <col min="1977" max="1977" width="13.54296875" bestFit="1" customWidth="1"/>
    <col min="1978" max="1978" width="8" bestFit="1" customWidth="1"/>
    <col min="1979" max="1979" width="13.54296875" bestFit="1" customWidth="1"/>
    <col min="1980" max="1980" width="8" bestFit="1" customWidth="1"/>
    <col min="1981" max="1981" width="13.54296875" bestFit="1" customWidth="1"/>
    <col min="1982" max="1982" width="8" bestFit="1" customWidth="1"/>
    <col min="1983" max="1983" width="13.54296875" bestFit="1" customWidth="1"/>
    <col min="1984" max="1984" width="10.36328125" bestFit="1" customWidth="1"/>
    <col min="1985" max="1985" width="13.54296875" bestFit="1" customWidth="1"/>
    <col min="1986" max="1986" width="10.36328125" bestFit="1" customWidth="1"/>
    <col min="1987" max="1987" width="13.54296875" bestFit="1" customWidth="1"/>
    <col min="1988" max="1988" width="8" bestFit="1" customWidth="1"/>
    <col min="1989" max="1989" width="13.54296875" bestFit="1" customWidth="1"/>
    <col min="1990" max="1990" width="10.36328125" bestFit="1" customWidth="1"/>
    <col min="1991" max="1991" width="13.54296875" bestFit="1" customWidth="1"/>
    <col min="1992" max="1992" width="12.453125" bestFit="1" customWidth="1"/>
    <col min="1993" max="1993" width="13.54296875" bestFit="1" customWidth="1"/>
    <col min="1994" max="1994" width="12.453125" bestFit="1" customWidth="1"/>
    <col min="1995" max="1995" width="13.54296875" bestFit="1" customWidth="1"/>
    <col min="1996" max="1996" width="8" bestFit="1" customWidth="1"/>
    <col min="1997" max="1997" width="13.54296875" bestFit="1" customWidth="1"/>
    <col min="1998" max="1998" width="8" bestFit="1" customWidth="1"/>
    <col min="1999" max="1999" width="13.54296875" bestFit="1" customWidth="1"/>
    <col min="2000" max="2000" width="12" bestFit="1" customWidth="1"/>
  </cols>
  <sheetData>
    <row r="1" spans="1:3" x14ac:dyDescent="0.35">
      <c r="A1" t="s">
        <v>56</v>
      </c>
    </row>
    <row r="2" spans="1:3" x14ac:dyDescent="0.35">
      <c r="A2" s="6" t="s">
        <v>57</v>
      </c>
      <c r="B2" t="s">
        <v>58</v>
      </c>
      <c r="C2" t="s">
        <v>59</v>
      </c>
    </row>
    <row r="3" spans="1:3" x14ac:dyDescent="0.35">
      <c r="A3" s="7" t="s">
        <v>29</v>
      </c>
      <c r="B3" s="8">
        <v>0.16022388059701501</v>
      </c>
      <c r="C3" s="5">
        <v>6391.6335820895265</v>
      </c>
    </row>
    <row r="4" spans="1:3" x14ac:dyDescent="0.35">
      <c r="A4" s="7" t="s">
        <v>35</v>
      </c>
      <c r="B4" s="8">
        <v>0.13650406504065041</v>
      </c>
      <c r="C4" s="5">
        <v>6399.6750406503807</v>
      </c>
    </row>
    <row r="5" spans="1:3" x14ac:dyDescent="0.35">
      <c r="A5" s="7" t="s">
        <v>26</v>
      </c>
      <c r="B5" s="8">
        <v>0.15380530973451326</v>
      </c>
      <c r="C5" s="5">
        <v>6288.088716814138</v>
      </c>
    </row>
    <row r="6" spans="1:3" x14ac:dyDescent="0.35">
      <c r="A6" s="7" t="s">
        <v>16</v>
      </c>
      <c r="B6" s="8">
        <v>0.15811538461538469</v>
      </c>
      <c r="C6" s="5">
        <v>6844.0813846153596</v>
      </c>
    </row>
    <row r="16" spans="1:3" s="3" customFormat="1" x14ac:dyDescent="0.35"/>
    <row r="18" spans="1:5" x14ac:dyDescent="0.35">
      <c r="A18" t="s">
        <v>64</v>
      </c>
    </row>
    <row r="19" spans="1:5" x14ac:dyDescent="0.35">
      <c r="A19" s="6" t="s">
        <v>57</v>
      </c>
      <c r="B19" t="s">
        <v>62</v>
      </c>
      <c r="C19" t="s">
        <v>61</v>
      </c>
    </row>
    <row r="20" spans="1:5" x14ac:dyDescent="0.35">
      <c r="A20" s="7" t="s">
        <v>42</v>
      </c>
      <c r="B20" s="5">
        <v>1294822.0099999974</v>
      </c>
      <c r="C20">
        <v>4832</v>
      </c>
    </row>
    <row r="21" spans="1:5" x14ac:dyDescent="0.35">
      <c r="A21" s="7" t="s">
        <v>14</v>
      </c>
      <c r="B21" s="5">
        <v>1170800.2399999925</v>
      </c>
      <c r="C21">
        <v>4977</v>
      </c>
    </row>
    <row r="22" spans="1:5" x14ac:dyDescent="0.35">
      <c r="A22" s="7" t="s">
        <v>33</v>
      </c>
      <c r="B22" s="5">
        <v>1071393.1599999974</v>
      </c>
      <c r="C22">
        <v>4217</v>
      </c>
    </row>
    <row r="23" spans="1:5" x14ac:dyDescent="0.35">
      <c r="A23" s="7" t="s">
        <v>24</v>
      </c>
      <c r="B23" s="5">
        <v>1501749.7599999942</v>
      </c>
      <c r="C23">
        <v>6042</v>
      </c>
    </row>
    <row r="24" spans="1:5" x14ac:dyDescent="0.35">
      <c r="A24" s="7" t="s">
        <v>38</v>
      </c>
      <c r="B24" s="5">
        <v>1449081.8999999948</v>
      </c>
      <c r="C24">
        <v>5287</v>
      </c>
    </row>
    <row r="25" spans="1:5" x14ac:dyDescent="0.35">
      <c r="A25" s="7" t="s">
        <v>60</v>
      </c>
      <c r="B25" s="5">
        <v>6487847.0699999761</v>
      </c>
      <c r="C25">
        <v>25355</v>
      </c>
    </row>
    <row r="27" spans="1:5" s="3" customFormat="1" x14ac:dyDescent="0.35"/>
    <row r="29" spans="1:5" x14ac:dyDescent="0.35">
      <c r="A29" t="s">
        <v>65</v>
      </c>
    </row>
    <row r="31" spans="1:5" x14ac:dyDescent="0.35">
      <c r="A31" s="6" t="s">
        <v>67</v>
      </c>
      <c r="B31" s="6" t="s">
        <v>66</v>
      </c>
    </row>
    <row r="32" spans="1:5" x14ac:dyDescent="0.35">
      <c r="A32" s="6" t="s">
        <v>57</v>
      </c>
      <c r="B32" t="s">
        <v>27</v>
      </c>
      <c r="C32" t="s">
        <v>18</v>
      </c>
      <c r="D32" t="s">
        <v>31</v>
      </c>
      <c r="E32" t="s">
        <v>60</v>
      </c>
    </row>
    <row r="33" spans="1:5" x14ac:dyDescent="0.35">
      <c r="A33" s="7" t="s">
        <v>34</v>
      </c>
      <c r="B33">
        <v>90</v>
      </c>
      <c r="C33">
        <v>80</v>
      </c>
      <c r="D33">
        <v>93</v>
      </c>
      <c r="E33">
        <v>263</v>
      </c>
    </row>
    <row r="34" spans="1:5" x14ac:dyDescent="0.35">
      <c r="A34" s="7" t="s">
        <v>15</v>
      </c>
      <c r="B34">
        <v>83</v>
      </c>
      <c r="C34">
        <v>84</v>
      </c>
      <c r="D34">
        <v>100</v>
      </c>
      <c r="E34">
        <v>267</v>
      </c>
    </row>
    <row r="35" spans="1:5" x14ac:dyDescent="0.35">
      <c r="A35" s="7" t="s">
        <v>25</v>
      </c>
      <c r="B35">
        <v>83</v>
      </c>
      <c r="C35">
        <v>68</v>
      </c>
      <c r="D35">
        <v>75</v>
      </c>
      <c r="E35">
        <v>226</v>
      </c>
    </row>
    <row r="36" spans="1:5" x14ac:dyDescent="0.35">
      <c r="A36" s="7" t="s">
        <v>21</v>
      </c>
      <c r="B36">
        <v>86</v>
      </c>
      <c r="C36">
        <v>81</v>
      </c>
      <c r="D36">
        <v>77</v>
      </c>
      <c r="E36">
        <v>244</v>
      </c>
    </row>
    <row r="37" spans="1:5" x14ac:dyDescent="0.35">
      <c r="A37" s="7" t="s">
        <v>60</v>
      </c>
      <c r="B37">
        <v>342</v>
      </c>
      <c r="C37">
        <v>313</v>
      </c>
      <c r="D37">
        <v>345</v>
      </c>
      <c r="E37">
        <v>1000</v>
      </c>
    </row>
    <row r="46" spans="1:5" x14ac:dyDescent="0.35">
      <c r="A46" t="s">
        <v>88</v>
      </c>
    </row>
    <row r="48" spans="1:5" x14ac:dyDescent="0.35">
      <c r="A48" s="6" t="s">
        <v>63</v>
      </c>
      <c r="B48" s="6" t="s">
        <v>66</v>
      </c>
    </row>
    <row r="49" spans="1:4" x14ac:dyDescent="0.35">
      <c r="A49" s="6" t="s">
        <v>57</v>
      </c>
      <c r="B49" t="s">
        <v>27</v>
      </c>
      <c r="C49" t="s">
        <v>18</v>
      </c>
      <c r="D49" t="s">
        <v>31</v>
      </c>
    </row>
    <row r="50" spans="1:4" x14ac:dyDescent="0.35">
      <c r="A50" s="7" t="s">
        <v>34</v>
      </c>
      <c r="B50" s="5">
        <v>425091.87000000011</v>
      </c>
      <c r="C50" s="5">
        <v>382111.09</v>
      </c>
      <c r="D50" s="5">
        <v>452589.96999999986</v>
      </c>
    </row>
    <row r="51" spans="1:4" x14ac:dyDescent="0.35">
      <c r="A51" s="7" t="s">
        <v>15</v>
      </c>
      <c r="B51" s="5">
        <v>436267.2699999999</v>
      </c>
      <c r="C51" s="5">
        <v>414617.56000000006</v>
      </c>
      <c r="D51" s="5">
        <v>518727.68000000028</v>
      </c>
    </row>
    <row r="52" spans="1:4" x14ac:dyDescent="0.35">
      <c r="A52" s="7" t="s">
        <v>25</v>
      </c>
      <c r="B52" s="5">
        <v>427765.62999999995</v>
      </c>
      <c r="C52" s="5">
        <v>340669.28999999992</v>
      </c>
      <c r="D52" s="5">
        <v>385815.93999999994</v>
      </c>
    </row>
    <row r="53" spans="1:4" x14ac:dyDescent="0.35">
      <c r="A53" s="7" t="s">
        <v>21</v>
      </c>
      <c r="B53" s="5">
        <v>428238.40000000014</v>
      </c>
      <c r="C53" s="5">
        <v>406940.60000000003</v>
      </c>
      <c r="D53" s="5">
        <v>400429.92999999993</v>
      </c>
    </row>
    <row r="54" spans="1:4" x14ac:dyDescent="0.35">
      <c r="A54" s="7" t="s">
        <v>60</v>
      </c>
      <c r="B54" s="5">
        <v>1717363.1700000002</v>
      </c>
      <c r="C54" s="5">
        <v>1544338.54</v>
      </c>
      <c r="D54" s="5">
        <v>1757563.52</v>
      </c>
    </row>
    <row r="56" spans="1:4" s="3" customFormat="1" x14ac:dyDescent="0.35"/>
    <row r="58" spans="1:4" x14ac:dyDescent="0.35">
      <c r="A58" t="s">
        <v>68</v>
      </c>
    </row>
    <row r="59" spans="1:4" x14ac:dyDescent="0.35">
      <c r="A59" t="s">
        <v>69</v>
      </c>
    </row>
    <row r="60" spans="1:4" x14ac:dyDescent="0.35">
      <c r="A60" t="s">
        <v>70</v>
      </c>
    </row>
    <row r="61" spans="1:4" x14ac:dyDescent="0.35">
      <c r="A61" t="s">
        <v>71</v>
      </c>
    </row>
    <row r="62" spans="1:4" x14ac:dyDescent="0.35">
      <c r="A62" t="s">
        <v>72</v>
      </c>
    </row>
    <row r="64" spans="1:4" x14ac:dyDescent="0.35">
      <c r="A64" s="6" t="s">
        <v>57</v>
      </c>
      <c r="B64" t="s">
        <v>62</v>
      </c>
      <c r="C64" t="s">
        <v>61</v>
      </c>
    </row>
    <row r="65" spans="1:3" x14ac:dyDescent="0.35">
      <c r="A65" s="7" t="s">
        <v>73</v>
      </c>
      <c r="B65" s="5">
        <v>6465285.0599999744</v>
      </c>
      <c r="C65">
        <v>25278</v>
      </c>
    </row>
    <row r="66" spans="1:3" x14ac:dyDescent="0.35">
      <c r="A66" s="9" t="s">
        <v>74</v>
      </c>
      <c r="B66" s="5">
        <v>655202.58999999729</v>
      </c>
      <c r="C66">
        <v>2472</v>
      </c>
    </row>
    <row r="67" spans="1:3" x14ac:dyDescent="0.35">
      <c r="A67" s="9" t="s">
        <v>75</v>
      </c>
      <c r="B67" s="5">
        <v>478053.07999999874</v>
      </c>
      <c r="C67">
        <v>2064</v>
      </c>
    </row>
    <row r="68" spans="1:3" x14ac:dyDescent="0.35">
      <c r="A68" s="9" t="s">
        <v>76</v>
      </c>
      <c r="B68" s="5">
        <v>528631.8099999968</v>
      </c>
      <c r="C68">
        <v>2069</v>
      </c>
    </row>
    <row r="69" spans="1:3" x14ac:dyDescent="0.35">
      <c r="A69" s="9" t="s">
        <v>77</v>
      </c>
      <c r="B69" s="5">
        <v>496006.81999999878</v>
      </c>
      <c r="C69">
        <v>1977</v>
      </c>
    </row>
    <row r="70" spans="1:3" x14ac:dyDescent="0.35">
      <c r="A70" s="9" t="s">
        <v>78</v>
      </c>
      <c r="B70" s="5">
        <v>489472.14999999799</v>
      </c>
      <c r="C70">
        <v>1968</v>
      </c>
    </row>
    <row r="71" spans="1:3" x14ac:dyDescent="0.35">
      <c r="A71" s="9" t="s">
        <v>79</v>
      </c>
      <c r="B71" s="5">
        <v>605992.19999999739</v>
      </c>
      <c r="C71">
        <v>2276</v>
      </c>
    </row>
    <row r="72" spans="1:3" x14ac:dyDescent="0.35">
      <c r="A72" s="9" t="s">
        <v>80</v>
      </c>
      <c r="B72" s="5">
        <v>447678.75999999838</v>
      </c>
      <c r="C72">
        <v>1603</v>
      </c>
    </row>
    <row r="73" spans="1:3" x14ac:dyDescent="0.35">
      <c r="A73" s="9" t="s">
        <v>81</v>
      </c>
      <c r="B73" s="5">
        <v>558417.68999999878</v>
      </c>
      <c r="C73">
        <v>2336</v>
      </c>
    </row>
    <row r="74" spans="1:3" x14ac:dyDescent="0.35">
      <c r="A74" s="9" t="s">
        <v>82</v>
      </c>
      <c r="B74" s="5">
        <v>472940.51999999786</v>
      </c>
      <c r="C74">
        <v>1815</v>
      </c>
    </row>
    <row r="75" spans="1:3" x14ac:dyDescent="0.35">
      <c r="A75" s="9" t="s">
        <v>83</v>
      </c>
      <c r="B75" s="5">
        <v>584679.82999999821</v>
      </c>
      <c r="C75">
        <v>2386</v>
      </c>
    </row>
    <row r="76" spans="1:3" x14ac:dyDescent="0.35">
      <c r="A76" s="9" t="s">
        <v>84</v>
      </c>
      <c r="B76" s="5">
        <v>557812.05999999796</v>
      </c>
      <c r="C76">
        <v>2129</v>
      </c>
    </row>
    <row r="77" spans="1:3" x14ac:dyDescent="0.35">
      <c r="A77" s="9" t="s">
        <v>85</v>
      </c>
      <c r="B77" s="5">
        <v>590397.54999999714</v>
      </c>
      <c r="C77">
        <v>2183</v>
      </c>
    </row>
    <row r="78" spans="1:3" x14ac:dyDescent="0.35">
      <c r="A78" s="7" t="s">
        <v>87</v>
      </c>
      <c r="B78" s="5">
        <v>22562.01</v>
      </c>
      <c r="C78">
        <v>77</v>
      </c>
    </row>
    <row r="79" spans="1:3" x14ac:dyDescent="0.35">
      <c r="A79" s="9" t="s">
        <v>74</v>
      </c>
      <c r="B79" s="5">
        <v>22562.01</v>
      </c>
      <c r="C79">
        <v>77</v>
      </c>
    </row>
    <row r="80" spans="1:3" x14ac:dyDescent="0.35">
      <c r="A80" s="7" t="s">
        <v>60</v>
      </c>
      <c r="B80">
        <v>6487847.0699999742</v>
      </c>
      <c r="C80">
        <v>25355</v>
      </c>
    </row>
    <row r="82" spans="1:3" x14ac:dyDescent="0.35">
      <c r="A82" s="6" t="s">
        <v>57</v>
      </c>
      <c r="B82" t="s">
        <v>61</v>
      </c>
      <c r="C82" t="s">
        <v>86</v>
      </c>
    </row>
    <row r="83" spans="1:3" x14ac:dyDescent="0.35">
      <c r="A83" s="7">
        <v>1058</v>
      </c>
      <c r="B83">
        <v>452</v>
      </c>
    </row>
    <row r="84" spans="1:3" x14ac:dyDescent="0.35">
      <c r="A84" s="7">
        <v>1099</v>
      </c>
      <c r="B84">
        <v>502</v>
      </c>
    </row>
    <row r="85" spans="1:3" x14ac:dyDescent="0.35">
      <c r="A85" s="7">
        <v>1062</v>
      </c>
      <c r="B85">
        <v>506</v>
      </c>
    </row>
    <row r="86" spans="1:3" x14ac:dyDescent="0.35">
      <c r="A86" s="7">
        <v>1092</v>
      </c>
      <c r="B86">
        <v>548</v>
      </c>
    </row>
    <row r="87" spans="1:3" x14ac:dyDescent="0.35">
      <c r="A87" s="7">
        <v>1090</v>
      </c>
      <c r="B87">
        <v>590</v>
      </c>
    </row>
    <row r="88" spans="1:3" x14ac:dyDescent="0.35">
      <c r="A88" s="7" t="s">
        <v>60</v>
      </c>
      <c r="B88">
        <v>2598</v>
      </c>
    </row>
    <row r="91" spans="1:3" x14ac:dyDescent="0.35">
      <c r="A91" s="6" t="s">
        <v>57</v>
      </c>
      <c r="B91" t="s">
        <v>62</v>
      </c>
    </row>
    <row r="92" spans="1:3" x14ac:dyDescent="0.35">
      <c r="A92" s="7" t="s">
        <v>34</v>
      </c>
      <c r="B92" s="5">
        <v>1650557.1999999934</v>
      </c>
    </row>
    <row r="93" spans="1:3" x14ac:dyDescent="0.35">
      <c r="A93" s="7" t="s">
        <v>15</v>
      </c>
      <c r="B93" s="5">
        <v>1661461.1999999941</v>
      </c>
    </row>
    <row r="94" spans="1:3" x14ac:dyDescent="0.35">
      <c r="A94" s="7" t="s">
        <v>25</v>
      </c>
      <c r="B94" s="5">
        <v>1519736.8999999929</v>
      </c>
    </row>
    <row r="95" spans="1:3" x14ac:dyDescent="0.35">
      <c r="A95" s="7" t="s">
        <v>21</v>
      </c>
      <c r="B95" s="5">
        <v>1656091.7699999954</v>
      </c>
    </row>
    <row r="96" spans="1:3" x14ac:dyDescent="0.35">
      <c r="A96" s="7" t="s">
        <v>60</v>
      </c>
      <c r="B96" s="5">
        <v>6487847.0699999761</v>
      </c>
    </row>
    <row r="103" spans="1:5" x14ac:dyDescent="0.35">
      <c r="A103" t="s">
        <v>62</v>
      </c>
      <c r="B103" t="s">
        <v>61</v>
      </c>
    </row>
    <row r="104" spans="1:5" x14ac:dyDescent="0.35">
      <c r="A104" s="5">
        <v>6487847.0699999714</v>
      </c>
      <c r="B104">
        <v>25355</v>
      </c>
      <c r="D104">
        <f>GETPIVOTDATA("Sum of Quantity_Sold",$A$103)</f>
        <v>25355</v>
      </c>
      <c r="E104" s="4">
        <f>GETPIVOTDATA("Sum of Net_profit",$A$103)</f>
        <v>6487847.0699999714</v>
      </c>
    </row>
    <row r="107" spans="1:5" x14ac:dyDescent="0.35">
      <c r="A107" s="6" t="s">
        <v>57</v>
      </c>
      <c r="B107" t="s">
        <v>62</v>
      </c>
    </row>
    <row r="108" spans="1:5" x14ac:dyDescent="0.35">
      <c r="A108" s="7" t="s">
        <v>33</v>
      </c>
      <c r="B108" s="5">
        <v>1071393.1599999974</v>
      </c>
    </row>
    <row r="109" spans="1:5" x14ac:dyDescent="0.35">
      <c r="A109" s="7" t="s">
        <v>14</v>
      </c>
      <c r="B109" s="5">
        <v>1170800.2399999925</v>
      </c>
    </row>
    <row r="110" spans="1:5" x14ac:dyDescent="0.35">
      <c r="A110" s="7" t="s">
        <v>42</v>
      </c>
      <c r="B110" s="5">
        <v>1294822.0099999974</v>
      </c>
    </row>
    <row r="111" spans="1:5" x14ac:dyDescent="0.35">
      <c r="A111" s="7" t="s">
        <v>38</v>
      </c>
      <c r="B111" s="5">
        <v>1449081.8999999948</v>
      </c>
    </row>
    <row r="112" spans="1:5" x14ac:dyDescent="0.35">
      <c r="A112" s="7" t="s">
        <v>24</v>
      </c>
      <c r="B112" s="5">
        <v>1501749.7599999942</v>
      </c>
    </row>
    <row r="113" spans="1:2" x14ac:dyDescent="0.35">
      <c r="A113" s="7" t="s">
        <v>60</v>
      </c>
      <c r="B113" s="5">
        <v>6487847.0699999761</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B566C-CC30-49D2-8E65-BAE5B909793F}">
  <dimension ref="A33:A50"/>
  <sheetViews>
    <sheetView tabSelected="1" zoomScale="50" zoomScaleNormal="55" workbookViewId="0">
      <selection activeCell="AE6" sqref="AE6"/>
    </sheetView>
  </sheetViews>
  <sheetFormatPr defaultRowHeight="14.5" x14ac:dyDescent="0.35"/>
  <cols>
    <col min="1" max="1" width="8.7265625" style="10"/>
    <col min="2" max="2" width="14.36328125" style="10" customWidth="1"/>
    <col min="3" max="3" width="20.1796875" style="10" customWidth="1"/>
    <col min="4" max="16384" width="8.7265625" style="10"/>
  </cols>
  <sheetData>
    <row r="33" s="10" customFormat="1" x14ac:dyDescent="0.35"/>
    <row r="50" s="10"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Jawaban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ThinkPad</cp:lastModifiedBy>
  <dcterms:created xsi:type="dcterms:W3CDTF">2026-01-05T15:01:39Z</dcterms:created>
  <dcterms:modified xsi:type="dcterms:W3CDTF">2026-01-06T12:07:51Z</dcterms:modified>
</cp:coreProperties>
</file>